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10332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3" i="1" l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3" i="1"/>
  <c r="U4" i="1"/>
  <c r="U5" i="1"/>
  <c r="U6" i="1"/>
  <c r="U7" i="1"/>
  <c r="U8" i="1"/>
  <c r="U9" i="1"/>
  <c r="U10" i="1"/>
  <c r="U11" i="1"/>
  <c r="U12" i="1"/>
  <c r="U2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3" i="1"/>
  <c r="T4" i="1"/>
  <c r="T2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3" i="1"/>
  <c r="S4" i="1"/>
  <c r="S5" i="1"/>
  <c r="S6" i="1"/>
  <c r="S2" i="1"/>
  <c r="Q118" i="1" l="1"/>
  <c r="Q114" i="1"/>
  <c r="Q110" i="1"/>
  <c r="Q106" i="1"/>
  <c r="Q102" i="1"/>
  <c r="Q94" i="1"/>
  <c r="Q90" i="1"/>
  <c r="Q86" i="1"/>
  <c r="Q82" i="1"/>
  <c r="Q78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7" i="1"/>
  <c r="Q116" i="1"/>
  <c r="Q115" i="1"/>
  <c r="Q113" i="1"/>
  <c r="Q112" i="1"/>
  <c r="Q111" i="1"/>
  <c r="Q109" i="1"/>
  <c r="Q108" i="1"/>
  <c r="Q107" i="1"/>
  <c r="Q105" i="1"/>
  <c r="Q104" i="1"/>
  <c r="Q103" i="1"/>
  <c r="Q101" i="1"/>
  <c r="Q100" i="1"/>
  <c r="Q99" i="1"/>
  <c r="Q97" i="1"/>
  <c r="Q96" i="1"/>
  <c r="Q95" i="1"/>
  <c r="Q93" i="1"/>
  <c r="Q92" i="1"/>
  <c r="Q91" i="1"/>
  <c r="Q89" i="1"/>
  <c r="Q88" i="1"/>
  <c r="Q87" i="1"/>
  <c r="Q85" i="1"/>
  <c r="Q84" i="1"/>
  <c r="Q83" i="1"/>
  <c r="Q81" i="1"/>
  <c r="Q80" i="1"/>
  <c r="Q79" i="1"/>
  <c r="Q77" i="1"/>
  <c r="Q76" i="1"/>
</calcChain>
</file>

<file path=xl/sharedStrings.xml><?xml version="1.0" encoding="utf-8"?>
<sst xmlns="http://schemas.openxmlformats.org/spreadsheetml/2006/main" count="288" uniqueCount="153">
  <si>
    <t>pool</t>
  </si>
  <si>
    <t>elevator</t>
  </si>
  <si>
    <t>playground</t>
  </si>
  <si>
    <t xml:space="preserve">bath </t>
  </si>
  <si>
    <t>bedroom</t>
  </si>
  <si>
    <t xml:space="preserve">price </t>
  </si>
  <si>
    <t>G</t>
  </si>
  <si>
    <t xml:space="preserve">   E</t>
  </si>
  <si>
    <t>D</t>
  </si>
  <si>
    <t xml:space="preserve">D </t>
  </si>
  <si>
    <t>B</t>
  </si>
  <si>
    <t>A</t>
  </si>
  <si>
    <t>E</t>
  </si>
  <si>
    <t>F</t>
  </si>
  <si>
    <t>Greco - Turro 1,947</t>
  </si>
  <si>
    <t>Garibaldi - Porta Venezia 1,697</t>
  </si>
  <si>
    <t>Fiera - De Angeli 1,519</t>
  </si>
  <si>
    <t>Comasina - Bicocca 1,333</t>
  </si>
  <si>
    <t>Città Studi - Lambrate 1,011</t>
  </si>
  <si>
    <t>Navigli - Bocconi 907</t>
  </si>
  <si>
    <t>Porta Vittoria 852</t>
  </si>
  <si>
    <t>San Siro - Trenno 777</t>
  </si>
  <si>
    <t>Lorenteggio - Bande Nere 733</t>
  </si>
  <si>
    <t>Certosa 590</t>
  </si>
  <si>
    <t>Vigentino - Ripamonti 553</t>
  </si>
  <si>
    <t>Abbiategrasso - Chiesa Rossa 488</t>
  </si>
  <si>
    <t>Famagosta - Naviglio Grande 484</t>
  </si>
  <si>
    <t>NoLo - Brianza - Pasteur, Greco - Turro 412</t>
  </si>
  <si>
    <t>Baggio 360</t>
  </si>
  <si>
    <t>Centro Storico 351</t>
  </si>
  <si>
    <t>San Vittore - Washington, Fiera - De Angeli 330</t>
  </si>
  <si>
    <t>Crescenzago, Greco - Turro 323</t>
  </si>
  <si>
    <t>Maggiolina - Villaggio dei Giornalisti, Greco - Turro 299</t>
  </si>
  <si>
    <t>Corvetto - Rogoredo 295</t>
  </si>
  <si>
    <t>Quarto Oggiaro - Vialba - Cascina Merlata 291</t>
  </si>
  <si>
    <t>Dergano, Comasina - Bicocca 280</t>
  </si>
  <si>
    <t>Isola, Garibaldi - Porta Venezia 280</t>
  </si>
  <si>
    <t>Baggio 277</t>
  </si>
  <si>
    <t>Vigentino, Vigentino - Ripamonti 277</t>
  </si>
  <si>
    <t>Govone, Fiera - De Angeli 274</t>
  </si>
  <si>
    <t>Argonne - Corsica, Città Studi - Lambrate 272</t>
  </si>
  <si>
    <t>Centrale, Garibaldi - Porta Venezia 267</t>
  </si>
  <si>
    <t>Affori, Comasina - Bicocca 246</t>
  </si>
  <si>
    <t>Forlanini 243</t>
  </si>
  <si>
    <t>Porta Vittoria - Calvairate, Porta Vittoria 243</t>
  </si>
  <si>
    <t>Morgantini - Segesta, San Siro - Trenno 239</t>
  </si>
  <si>
    <t>Navigli - Porta Genova, Navigli - Bocconi 236</t>
  </si>
  <si>
    <t>Indipendenza - Regina Giovanna, Garibaldi - Porta Venezia 230</t>
  </si>
  <si>
    <t>Fiera, Fiera - De Angeli 225</t>
  </si>
  <si>
    <t>Sempione, Fiera - De Angeli 224</t>
  </si>
  <si>
    <t>Buenos Aires, Garibaldi - Porta Venezia 221</t>
  </si>
  <si>
    <t>Lorenteggio - Giambellino, Lorenteggio - Bande Nere 219</t>
  </si>
  <si>
    <t>Gottardo, Navigli - Bocconi 217</t>
  </si>
  <si>
    <t>Teodosio - Porpora, Città Studi - Lambrate 217</t>
  </si>
  <si>
    <t>Porta Venezia - Repubblica, Garibaldi - Porta Venezia 212</t>
  </si>
  <si>
    <t>San Siro, San Siro - Trenno 212</t>
  </si>
  <si>
    <t>Lodi - Brenta, Porta Vittoria 211</t>
  </si>
  <si>
    <t>Fondazione Prada - Scalo Romana, Vigentino - Ripamonti 209</t>
  </si>
  <si>
    <t>Villapizzone - Varesina, Certosa 191</t>
  </si>
  <si>
    <t>Bovisa, Comasina - Bicocca 189</t>
  </si>
  <si>
    <t>Accursio, Certosa 183</t>
  </si>
  <si>
    <t>Porta Romana, Porta Vittoria 174</t>
  </si>
  <si>
    <t>Bande Nere - Gambara, Lorenteggio - Bande Nere 173</t>
  </si>
  <si>
    <t>Cimiano, Greco - Turro 173</t>
  </si>
  <si>
    <t>Gorla, Greco - Turro 168</t>
  </si>
  <si>
    <t>Naviglio Grande - San Cristoforo, Famagosta - Naviglio Grande 167</t>
  </si>
  <si>
    <t>Soderini, Lorenteggio - Bande Nere 164</t>
  </si>
  <si>
    <t>Garegnano, Certosa 159</t>
  </si>
  <si>
    <t>Lambrate, Città Studi - Lambrate 157</t>
  </si>
  <si>
    <t>Romagna, Città Studi - Lambrate 157</t>
  </si>
  <si>
    <t>Portello - Tre Torri, Fiera - De Angeli 156</t>
  </si>
  <si>
    <t>Gratosoglio, Abbiategrasso - Chiesa Rossa 155</t>
  </si>
  <si>
    <t>Turro, Greco - Turro 155</t>
  </si>
  <si>
    <t>Cinque Giornate - Cadore, Porta Vittoria 151</t>
  </si>
  <si>
    <t>Moscova, Garibaldi - Porta Venezia 148</t>
  </si>
  <si>
    <t>Precotto, Greco - Turro 148</t>
  </si>
  <si>
    <t>Cenisio - Sarpi, Fiera - De Angeli 147</t>
  </si>
  <si>
    <t>Istria, Comasina - Bicocca 147</t>
  </si>
  <si>
    <t>Tibaldi - Pezzotti, Abbiategrasso - Chiesa Rossa 144</t>
  </si>
  <si>
    <t>Ariosto - Magenta, Fiera - De Angeli 141</t>
  </si>
  <si>
    <t>Cà Granda - Pratocentenaro, Comasina - Bicocca 141</t>
  </si>
  <si>
    <t>Villa San Giovanni, Greco - Turro 140</t>
  </si>
  <si>
    <t>Gallaratese, San Siro - Trenno 137</t>
  </si>
  <si>
    <t>Greco, Greco - Turro 129</t>
  </si>
  <si>
    <t>Barona - San Paolo, Famagosta - Naviglio Grande 128</t>
  </si>
  <si>
    <t>Corso Genova, Navigli - Bocconi 126</t>
  </si>
  <si>
    <t>Città Studi, Città Studi - Lambrate 119</t>
  </si>
  <si>
    <t>Famagosta, Famagosta - Naviglio Grande 115</t>
  </si>
  <si>
    <t>Quarto Oggiaro, Quarto Oggiaro - Vialba - Cascina Merlata 115</t>
  </si>
  <si>
    <t>Rogoredo - Santa Giulia, Corvetto - Rogoredo 114</t>
  </si>
  <si>
    <t>Bocconi, Navigli - Bocconi 113</t>
  </si>
  <si>
    <t>Corvetto, Corvetto - Rogoredo 113</t>
  </si>
  <si>
    <t>Inganni, Lorenteggio - Bande Nere 112</t>
  </si>
  <si>
    <t>Solari - Savona, Navigli - Bocconi 109</t>
  </si>
  <si>
    <t>Palestro - Monforte, Garibaldi - Porta Venezia 107</t>
  </si>
  <si>
    <t>Mercalli - Quadronno, Navigli - Bocconi 106</t>
  </si>
  <si>
    <t>Stadera - Abbiategrasso, Abbiategrasso - Chiesa Rossa 105</t>
  </si>
  <si>
    <t>Ponte Lambro, Forlanini 91</t>
  </si>
  <si>
    <t>Quarto Cagnino - San Carlo, San Siro - Trenno 90</t>
  </si>
  <si>
    <t>Bicocca - Bignami, Comasina - Bicocca 87</t>
  </si>
  <si>
    <t>Carrobbio - Cinque Vie, Centro Storico 87</t>
  </si>
  <si>
    <t>Cascina Merlata, Quarto Oggiaro - Vialba - Cascina Merlata 86</t>
  </si>
  <si>
    <t>Chiesa Rossa, Abbiategrasso - Chiesa Rossa 84</t>
  </si>
  <si>
    <t>Vialba, Quarto Oggiaro - Vialba - Cascina Merlata 83</t>
  </si>
  <si>
    <t>Mecenate, Forlanini 82</t>
  </si>
  <si>
    <t>Niguarda, Comasina - Bicocca 81</t>
  </si>
  <si>
    <t>Duomo - San Babila, Centro Storico 80</t>
  </si>
  <si>
    <t>Garibaldi - Corso Como, Garibaldi - Porta Venezia 79</t>
  </si>
  <si>
    <t>Morgagni - Bacone, Garibaldi - Porta Venezia 79</t>
  </si>
  <si>
    <t>Faenza - Ronchetto sul Naviglio, Famagosta - Naviglio Grande 74</t>
  </si>
  <si>
    <t>Porta Nuova - Turati, Garibaldi - Porta Venezia 74</t>
  </si>
  <si>
    <t>Tribunale - Guastalla, Porta Vittoria 73</t>
  </si>
  <si>
    <t>Missori - Augusto, Centro Storico 71</t>
  </si>
  <si>
    <t>Sulmona, Corvetto - Rogoredo 68</t>
  </si>
  <si>
    <t>Udine, Città Studi - Lambrate 67</t>
  </si>
  <si>
    <t>Bisceglie, Lorenteggio - Bande Nere 65</t>
  </si>
  <si>
    <t>Bruzzano, Comasina - Bicocca 65</t>
  </si>
  <si>
    <t>Prealpi - Testori, Certosa 57</t>
  </si>
  <si>
    <t>Val di Sole - Fatima, Vigentino - Ripamonti 55</t>
  </si>
  <si>
    <t>Comasina, Comasina - Bicocca 54</t>
  </si>
  <si>
    <t>Ungheria, Forlanini 47</t>
  </si>
  <si>
    <t>Bovisasca, Comasina - Bicocca 43</t>
  </si>
  <si>
    <t>Figino, San Siro - Trenno 40</t>
  </si>
  <si>
    <t>Brera - Montenapoleone, Centro Storico 37</t>
  </si>
  <si>
    <t>Olmi, Baggio 36</t>
  </si>
  <si>
    <t>Trenno, San Siro - Trenno 31</t>
  </si>
  <si>
    <t>Zona Sant'Ambrogio - Università Cattolica, Centro Storico 30</t>
  </si>
  <si>
    <t>Cadorna - Castello, Centro Storico 28</t>
  </si>
  <si>
    <t>QT8, San Siro - Trenno 28</t>
  </si>
  <si>
    <t>Quinto Romano, Baggio 26</t>
  </si>
  <si>
    <t>Parco Forlanini, Forlanini 23</t>
  </si>
  <si>
    <t>City Life, Fiera - De Angeli 22</t>
  </si>
  <si>
    <t>Feltre - Parco Lambro, Città Studi - Lambrate 22</t>
  </si>
  <si>
    <t>Muggiano, Baggio 21</t>
  </si>
  <si>
    <t>Quadrilatero della Moda, Centro Storico 18</t>
  </si>
  <si>
    <t>Chiaravalle - Quintosole, Vigentino - Ripamonti 12</t>
  </si>
  <si>
    <t>Musocco, Quarto Oggiaro - Vialba - Cascina Merlata 7</t>
  </si>
  <si>
    <t>balcony</t>
  </si>
  <si>
    <t>C</t>
  </si>
  <si>
    <t>CONDOMINIUM</t>
  </si>
  <si>
    <t xml:space="preserve">  UNDER80 </t>
  </si>
  <si>
    <t>condition</t>
  </si>
  <si>
    <t>shop</t>
  </si>
  <si>
    <t>school</t>
  </si>
  <si>
    <t>hospital</t>
  </si>
  <si>
    <t>green area</t>
  </si>
  <si>
    <t>energy</t>
  </si>
  <si>
    <t>car</t>
  </si>
  <si>
    <t xml:space="preserve"> transport</t>
  </si>
  <si>
    <t>priceperm</t>
  </si>
  <si>
    <t>ln_price</t>
  </si>
  <si>
    <t>energy_efficiency</t>
  </si>
  <si>
    <t xml:space="preserve">energy_score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</si>
</sst>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0" fillId="5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0"/>
  <sheetViews>
    <sheetView tabSelected="1" workbookViewId="0">
      <pane ySplit="1" topLeftCell="A128" activePane="bottomLeft" state="frozen"/>
      <selection activeCell="B1" sqref="B1"/>
      <selection pane="bottomLeft" activeCell="P139" sqref="P139"/>
    </sheetView>
  </sheetViews>
  <sheetFormatPr defaultColWidth="8.77734375" defaultRowHeight="14.4" x14ac:dyDescent="0.3"/>
  <cols>
    <col min="1" max="1" width="11.77734375" style="5" customWidth="1"/>
    <col min="2" max="2" width="4.5546875" style="5" bestFit="1" customWidth="1"/>
    <col min="3" max="3" width="11.21875" style="5" customWidth="1"/>
    <col min="4" max="4" width="7.21875" style="5" bestFit="1" customWidth="1"/>
    <col min="5" max="5" width="10.6640625" style="5" customWidth="1"/>
    <col min="6" max="6" width="5.109375" style="5" customWidth="1"/>
    <col min="7" max="7" width="5.44140625" style="5" customWidth="1"/>
    <col min="8" max="11" width="6.21875" style="5" customWidth="1"/>
    <col min="12" max="12" width="5.109375" style="5" bestFit="1" customWidth="1"/>
    <col min="13" max="13" width="6" style="5" customWidth="1"/>
    <col min="14" max="14" width="7.6640625" style="5" customWidth="1"/>
    <col min="15" max="16" width="11" style="5" customWidth="1"/>
    <col min="17" max="17" width="6.44140625" style="9" customWidth="1"/>
    <col min="18" max="18" width="8.6640625" style="9" customWidth="1"/>
    <col min="19" max="16384" width="8.77734375" style="5"/>
  </cols>
  <sheetData>
    <row r="1" spans="1:21" ht="48.45" customHeight="1" x14ac:dyDescent="0.3">
      <c r="A1" s="11" t="s">
        <v>139</v>
      </c>
      <c r="B1" s="3" t="s">
        <v>0</v>
      </c>
      <c r="C1" s="11" t="s">
        <v>140</v>
      </c>
      <c r="D1" s="3" t="s">
        <v>137</v>
      </c>
      <c r="E1" s="10" t="s">
        <v>141</v>
      </c>
      <c r="F1" s="4" t="s">
        <v>1</v>
      </c>
      <c r="G1" s="4" t="s">
        <v>2</v>
      </c>
      <c r="H1" s="4" t="s">
        <v>142</v>
      </c>
      <c r="I1" s="4" t="s">
        <v>143</v>
      </c>
      <c r="J1" s="4" t="s">
        <v>144</v>
      </c>
      <c r="K1" s="4" t="s">
        <v>145</v>
      </c>
      <c r="L1" s="3" t="s">
        <v>3</v>
      </c>
      <c r="M1" s="4" t="s">
        <v>4</v>
      </c>
      <c r="N1" s="4" t="s">
        <v>146</v>
      </c>
      <c r="O1" s="12" t="s">
        <v>147</v>
      </c>
      <c r="P1" s="12" t="s">
        <v>148</v>
      </c>
      <c r="Q1" s="4" t="s">
        <v>149</v>
      </c>
      <c r="R1" s="3" t="s">
        <v>5</v>
      </c>
      <c r="S1" s="5" t="s">
        <v>150</v>
      </c>
      <c r="T1" s="5" t="s">
        <v>151</v>
      </c>
      <c r="U1" s="13" t="s">
        <v>152</v>
      </c>
    </row>
    <row r="2" spans="1:21" x14ac:dyDescent="0.3">
      <c r="A2" s="6">
        <v>1</v>
      </c>
      <c r="B2" s="6">
        <v>0</v>
      </c>
      <c r="C2" s="6">
        <v>1</v>
      </c>
      <c r="D2" s="6">
        <v>0</v>
      </c>
      <c r="E2" s="6">
        <v>1</v>
      </c>
      <c r="F2" s="6">
        <v>1</v>
      </c>
      <c r="G2" s="6">
        <v>0</v>
      </c>
      <c r="H2" s="6">
        <v>1</v>
      </c>
      <c r="I2" s="6">
        <v>1</v>
      </c>
      <c r="J2" s="6">
        <v>1</v>
      </c>
      <c r="K2" s="6">
        <v>0</v>
      </c>
      <c r="L2" s="7">
        <v>1</v>
      </c>
      <c r="M2" s="7">
        <v>1</v>
      </c>
      <c r="N2" s="7" t="s">
        <v>7</v>
      </c>
      <c r="O2" s="7">
        <v>9</v>
      </c>
      <c r="P2" s="7">
        <v>9</v>
      </c>
      <c r="Q2" s="8">
        <v>5700</v>
      </c>
      <c r="R2" s="8">
        <v>399000</v>
      </c>
      <c r="S2" s="5">
        <f>LN(R2)</f>
        <v>12.896716695872</v>
      </c>
      <c r="T2" s="5" t="str">
        <f>TRIM(N2)</f>
        <v>E</v>
      </c>
      <c r="U2" s="5">
        <f>IF(T2="A",7,
 IF(T2="B",6,
 IF(T2="C",5,
 IF(T2="D",4,
 IF(T2="E",3,
 IF(T2="F",2,
 IF(T2="G",1,"")))))))</f>
        <v>3</v>
      </c>
    </row>
    <row r="3" spans="1:21" x14ac:dyDescent="0.3">
      <c r="A3" s="6">
        <v>1</v>
      </c>
      <c r="B3" s="6">
        <v>0</v>
      </c>
      <c r="C3" s="6">
        <v>0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0</v>
      </c>
      <c r="L3" s="7">
        <v>2</v>
      </c>
      <c r="M3" s="7">
        <v>2</v>
      </c>
      <c r="N3" s="7" t="s">
        <v>6</v>
      </c>
      <c r="O3" s="7">
        <v>17</v>
      </c>
      <c r="P3" s="7">
        <v>9</v>
      </c>
      <c r="Q3" s="8">
        <v>14190</v>
      </c>
      <c r="R3" s="8">
        <v>1490000</v>
      </c>
      <c r="S3" s="5">
        <f t="shared" ref="S3:S66" si="0">LN(R3)</f>
        <v>14.214286677921642</v>
      </c>
      <c r="T3" s="5" t="str">
        <f t="shared" ref="T3:T66" si="1">TRIM(N3)</f>
        <v>G</v>
      </c>
      <c r="U3" s="5">
        <f t="shared" ref="U3:U66" si="2">IF(T3="A",7,
 IF(T3="B",6,
 IF(T3="C",5,
 IF(T3="D",4,
 IF(T3="E",3,
 IF(T3="F",2,
 IF(T3="G",1,"")))))))</f>
        <v>1</v>
      </c>
    </row>
    <row r="4" spans="1:21" x14ac:dyDescent="0.3">
      <c r="A4" s="6">
        <v>0</v>
      </c>
      <c r="B4" s="6">
        <v>0</v>
      </c>
      <c r="C4" s="6">
        <v>0</v>
      </c>
      <c r="D4" s="6">
        <v>1</v>
      </c>
      <c r="E4" s="6">
        <v>0</v>
      </c>
      <c r="F4" s="6">
        <v>0</v>
      </c>
      <c r="G4" s="6">
        <v>1</v>
      </c>
      <c r="H4" s="6">
        <v>1</v>
      </c>
      <c r="I4" s="6">
        <v>1</v>
      </c>
      <c r="J4" s="6">
        <v>1</v>
      </c>
      <c r="K4" s="6">
        <v>0</v>
      </c>
      <c r="L4" s="7">
        <v>1</v>
      </c>
      <c r="M4" s="7">
        <v>1</v>
      </c>
      <c r="N4" s="7" t="s">
        <v>8</v>
      </c>
      <c r="O4" s="7">
        <v>9</v>
      </c>
      <c r="P4" s="7">
        <v>12</v>
      </c>
      <c r="Q4" s="8">
        <v>12950</v>
      </c>
      <c r="R4" s="8">
        <v>1140000</v>
      </c>
      <c r="S4" s="5">
        <f t="shared" si="0"/>
        <v>13.946538820370678</v>
      </c>
      <c r="T4" s="5" t="str">
        <f t="shared" si="1"/>
        <v>D</v>
      </c>
      <c r="U4" s="5">
        <f t="shared" si="2"/>
        <v>4</v>
      </c>
    </row>
    <row r="5" spans="1:21" x14ac:dyDescent="0.3">
      <c r="A5" s="6">
        <v>1</v>
      </c>
      <c r="B5" s="6">
        <v>0</v>
      </c>
      <c r="C5" s="6">
        <v>0</v>
      </c>
      <c r="D5" s="6">
        <v>1</v>
      </c>
      <c r="E5" s="6">
        <v>1</v>
      </c>
      <c r="F5" s="6">
        <v>1</v>
      </c>
      <c r="G5" s="6">
        <v>0</v>
      </c>
      <c r="H5" s="6">
        <v>1</v>
      </c>
      <c r="I5" s="6">
        <v>1</v>
      </c>
      <c r="J5" s="6">
        <v>1</v>
      </c>
      <c r="K5" s="6">
        <v>1</v>
      </c>
      <c r="L5" s="7">
        <v>3</v>
      </c>
      <c r="M5" s="7">
        <v>3</v>
      </c>
      <c r="N5" s="7" t="s">
        <v>6</v>
      </c>
      <c r="O5" s="7">
        <v>13</v>
      </c>
      <c r="P5" s="7">
        <v>10</v>
      </c>
      <c r="Q5" s="8">
        <v>7490</v>
      </c>
      <c r="R5" s="8">
        <v>1498000</v>
      </c>
      <c r="S5" s="5">
        <f t="shared" si="0"/>
        <v>14.219641443059302</v>
      </c>
      <c r="T5" s="5" t="str">
        <f t="shared" si="1"/>
        <v>G</v>
      </c>
      <c r="U5" s="5">
        <f t="shared" si="2"/>
        <v>1</v>
      </c>
    </row>
    <row r="6" spans="1:21" x14ac:dyDescent="0.3">
      <c r="A6" s="6">
        <v>1</v>
      </c>
      <c r="B6" s="6">
        <v>0</v>
      </c>
      <c r="C6" s="6">
        <v>1</v>
      </c>
      <c r="D6" s="6">
        <v>0</v>
      </c>
      <c r="E6" s="6">
        <v>0</v>
      </c>
      <c r="F6" s="6">
        <v>1</v>
      </c>
      <c r="G6" s="6">
        <v>0</v>
      </c>
      <c r="H6" s="6">
        <v>1</v>
      </c>
      <c r="I6" s="6">
        <v>1</v>
      </c>
      <c r="J6" s="6">
        <v>1</v>
      </c>
      <c r="K6" s="6">
        <v>1</v>
      </c>
      <c r="L6" s="7">
        <v>2</v>
      </c>
      <c r="M6" s="7">
        <v>2</v>
      </c>
      <c r="N6" s="7" t="s">
        <v>6</v>
      </c>
      <c r="O6" s="7">
        <v>11</v>
      </c>
      <c r="P6" s="7">
        <v>13</v>
      </c>
      <c r="Q6" s="8">
        <v>8164</v>
      </c>
      <c r="R6" s="8">
        <v>449000</v>
      </c>
      <c r="S6" s="5">
        <f t="shared" si="0"/>
        <v>13.01477816672439</v>
      </c>
      <c r="T6" s="5" t="str">
        <f t="shared" si="1"/>
        <v>G</v>
      </c>
      <c r="U6" s="5">
        <f t="shared" si="2"/>
        <v>1</v>
      </c>
    </row>
    <row r="7" spans="1:21" x14ac:dyDescent="0.3">
      <c r="A7" s="6">
        <v>1</v>
      </c>
      <c r="B7" s="6">
        <v>0</v>
      </c>
      <c r="C7" s="6">
        <v>0</v>
      </c>
      <c r="D7" s="6">
        <v>0</v>
      </c>
      <c r="E7" s="6">
        <v>1</v>
      </c>
      <c r="F7" s="6">
        <v>1</v>
      </c>
      <c r="G7" s="6">
        <v>0</v>
      </c>
      <c r="H7" s="6">
        <v>1</v>
      </c>
      <c r="I7" s="6">
        <v>1</v>
      </c>
      <c r="J7" s="6">
        <v>1</v>
      </c>
      <c r="K7" s="6">
        <v>1</v>
      </c>
      <c r="L7" s="7">
        <v>1</v>
      </c>
      <c r="M7" s="7">
        <v>2</v>
      </c>
      <c r="N7" s="7"/>
      <c r="O7" s="7">
        <v>16</v>
      </c>
      <c r="P7" s="7">
        <v>22</v>
      </c>
      <c r="Q7" s="8">
        <v>8725</v>
      </c>
      <c r="R7" s="8">
        <v>698000</v>
      </c>
      <c r="S7" s="5">
        <f t="shared" si="0"/>
        <v>13.455974381744509</v>
      </c>
      <c r="T7" s="5" t="str">
        <f t="shared" si="1"/>
        <v/>
      </c>
      <c r="U7" s="5" t="str">
        <f t="shared" si="2"/>
        <v/>
      </c>
    </row>
    <row r="8" spans="1:21" x14ac:dyDescent="0.3">
      <c r="A8" s="6">
        <v>1</v>
      </c>
      <c r="B8" s="6">
        <v>0</v>
      </c>
      <c r="C8" s="6">
        <v>0</v>
      </c>
      <c r="D8" s="6">
        <v>1</v>
      </c>
      <c r="E8" s="6">
        <v>1</v>
      </c>
      <c r="F8" s="6">
        <v>0</v>
      </c>
      <c r="G8" s="6">
        <v>0</v>
      </c>
      <c r="H8" s="6">
        <v>0</v>
      </c>
      <c r="I8" s="6">
        <v>1</v>
      </c>
      <c r="J8" s="6">
        <v>0</v>
      </c>
      <c r="K8" s="6">
        <v>1</v>
      </c>
      <c r="L8" s="7">
        <v>2</v>
      </c>
      <c r="M8" s="7">
        <v>2</v>
      </c>
      <c r="N8" s="7" t="s">
        <v>6</v>
      </c>
      <c r="O8" s="7">
        <v>40</v>
      </c>
      <c r="P8" s="7">
        <v>53</v>
      </c>
      <c r="Q8" s="8">
        <v>1680</v>
      </c>
      <c r="R8" s="8">
        <v>199000</v>
      </c>
      <c r="S8" s="5">
        <f t="shared" si="0"/>
        <v>12.201060103706629</v>
      </c>
      <c r="T8" s="5" t="str">
        <f t="shared" si="1"/>
        <v>G</v>
      </c>
      <c r="U8" s="5">
        <f t="shared" si="2"/>
        <v>1</v>
      </c>
    </row>
    <row r="9" spans="1:21" x14ac:dyDescent="0.3">
      <c r="A9" s="6">
        <v>1</v>
      </c>
      <c r="B9" s="6">
        <v>0</v>
      </c>
      <c r="C9" s="6">
        <v>1</v>
      </c>
      <c r="D9" s="6">
        <v>0</v>
      </c>
      <c r="E9" s="6">
        <v>1</v>
      </c>
      <c r="F9" s="6">
        <v>0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7">
        <v>1</v>
      </c>
      <c r="M9" s="7">
        <v>1</v>
      </c>
      <c r="N9" s="7" t="s">
        <v>8</v>
      </c>
      <c r="O9" s="7">
        <v>20</v>
      </c>
      <c r="P9" s="7">
        <v>27</v>
      </c>
      <c r="Q9" s="8">
        <v>2800</v>
      </c>
      <c r="R9" s="8">
        <v>129000</v>
      </c>
      <c r="S9" s="5">
        <f t="shared" si="0"/>
        <v>11.76756768334381</v>
      </c>
      <c r="T9" s="5" t="str">
        <f t="shared" si="1"/>
        <v>D</v>
      </c>
      <c r="U9" s="5">
        <f t="shared" si="2"/>
        <v>4</v>
      </c>
    </row>
    <row r="10" spans="1:21" x14ac:dyDescent="0.3">
      <c r="A10" s="6">
        <v>1</v>
      </c>
      <c r="B10" s="6">
        <v>0</v>
      </c>
      <c r="C10" s="6">
        <v>1</v>
      </c>
      <c r="D10" s="6">
        <v>1</v>
      </c>
      <c r="E10" s="6">
        <v>1</v>
      </c>
      <c r="F10" s="6">
        <v>1</v>
      </c>
      <c r="G10" s="6">
        <v>0</v>
      </c>
      <c r="H10" s="6">
        <v>1</v>
      </c>
      <c r="I10" s="6">
        <v>1</v>
      </c>
      <c r="J10" s="6">
        <v>1</v>
      </c>
      <c r="K10" s="6">
        <v>1</v>
      </c>
      <c r="L10" s="7">
        <v>1</v>
      </c>
      <c r="M10" s="7">
        <v>1</v>
      </c>
      <c r="N10" s="7" t="s">
        <v>9</v>
      </c>
      <c r="O10" s="7">
        <v>22</v>
      </c>
      <c r="P10" s="7">
        <v>21</v>
      </c>
      <c r="Q10" s="8">
        <v>5178</v>
      </c>
      <c r="R10" s="8">
        <v>378000</v>
      </c>
      <c r="S10" s="5">
        <f t="shared" si="0"/>
        <v>12.842649474601725</v>
      </c>
      <c r="T10" s="5" t="str">
        <f t="shared" si="1"/>
        <v>D</v>
      </c>
      <c r="U10" s="5">
        <f t="shared" si="2"/>
        <v>4</v>
      </c>
    </row>
    <row r="11" spans="1:21" x14ac:dyDescent="0.3">
      <c r="A11" s="6">
        <v>1</v>
      </c>
      <c r="B11" s="6">
        <v>0</v>
      </c>
      <c r="C11" s="6">
        <v>0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7">
        <v>1</v>
      </c>
      <c r="M11" s="7">
        <v>1</v>
      </c>
      <c r="N11" s="7" t="s">
        <v>10</v>
      </c>
      <c r="O11" s="7">
        <v>23</v>
      </c>
      <c r="P11" s="7">
        <v>27</v>
      </c>
      <c r="Q11" s="8">
        <v>4310</v>
      </c>
      <c r="R11" s="8">
        <v>375000</v>
      </c>
      <c r="S11" s="5">
        <f t="shared" si="0"/>
        <v>12.834681304952548</v>
      </c>
      <c r="T11" s="5" t="str">
        <f t="shared" si="1"/>
        <v>B</v>
      </c>
      <c r="U11" s="5">
        <f t="shared" si="2"/>
        <v>6</v>
      </c>
    </row>
    <row r="12" spans="1:21" x14ac:dyDescent="0.3">
      <c r="A12" s="6">
        <v>1</v>
      </c>
      <c r="B12" s="6">
        <v>0</v>
      </c>
      <c r="C12" s="6">
        <v>0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7">
        <v>1</v>
      </c>
      <c r="M12" s="7">
        <v>1</v>
      </c>
      <c r="N12" s="7" t="s">
        <v>11</v>
      </c>
      <c r="O12" s="7">
        <v>18</v>
      </c>
      <c r="P12" s="7">
        <v>32</v>
      </c>
      <c r="Q12" s="8">
        <v>5150</v>
      </c>
      <c r="R12" s="8">
        <v>490000</v>
      </c>
      <c r="S12" s="5">
        <f t="shared" si="0"/>
        <v>13.102160670086809</v>
      </c>
      <c r="T12" s="5" t="str">
        <f t="shared" si="1"/>
        <v>A</v>
      </c>
      <c r="U12" s="5">
        <f t="shared" si="2"/>
        <v>7</v>
      </c>
    </row>
    <row r="13" spans="1:21" x14ac:dyDescent="0.3">
      <c r="A13" s="6">
        <v>1</v>
      </c>
      <c r="B13" s="6">
        <v>0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0</v>
      </c>
      <c r="I13" s="6">
        <v>1</v>
      </c>
      <c r="J13" s="6">
        <v>0</v>
      </c>
      <c r="K13" s="6">
        <v>1</v>
      </c>
      <c r="L13" s="7">
        <v>1</v>
      </c>
      <c r="M13" s="7">
        <v>1</v>
      </c>
      <c r="N13" s="7" t="s">
        <v>12</v>
      </c>
      <c r="O13" s="7">
        <v>20</v>
      </c>
      <c r="P13" s="7">
        <v>40</v>
      </c>
      <c r="Q13" s="8">
        <v>3300</v>
      </c>
      <c r="R13" s="8">
        <v>298000</v>
      </c>
      <c r="S13" s="5">
        <f t="shared" si="0"/>
        <v>12.604848765487542</v>
      </c>
      <c r="T13" s="5" t="str">
        <f t="shared" si="1"/>
        <v>E</v>
      </c>
      <c r="U13" s="5">
        <f t="shared" si="2"/>
        <v>3</v>
      </c>
    </row>
    <row r="14" spans="1:21" x14ac:dyDescent="0.3">
      <c r="A14" s="6">
        <v>1</v>
      </c>
      <c r="B14" s="6">
        <v>0</v>
      </c>
      <c r="C14" s="6">
        <v>0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0</v>
      </c>
      <c r="L14" s="7">
        <v>3</v>
      </c>
      <c r="M14" s="7">
        <v>5</v>
      </c>
      <c r="N14" s="7" t="s">
        <v>8</v>
      </c>
      <c r="O14" s="7">
        <v>20</v>
      </c>
      <c r="P14" s="7">
        <v>18</v>
      </c>
      <c r="Q14" s="8">
        <v>9375</v>
      </c>
      <c r="R14" s="8">
        <v>2100000</v>
      </c>
      <c r="S14" s="5">
        <f t="shared" si="0"/>
        <v>14.557447902693651</v>
      </c>
      <c r="T14" s="5" t="str">
        <f t="shared" si="1"/>
        <v>D</v>
      </c>
      <c r="U14" s="5">
        <f t="shared" si="2"/>
        <v>4</v>
      </c>
    </row>
    <row r="15" spans="1:21" x14ac:dyDescent="0.3">
      <c r="A15" s="6">
        <v>1</v>
      </c>
      <c r="B15" s="6">
        <v>0</v>
      </c>
      <c r="C15" s="6">
        <v>0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0</v>
      </c>
      <c r="L15" s="7">
        <v>3</v>
      </c>
      <c r="M15" s="7">
        <v>2</v>
      </c>
      <c r="N15" s="7" t="s">
        <v>12</v>
      </c>
      <c r="O15" s="7">
        <v>20</v>
      </c>
      <c r="P15" s="7">
        <v>19</v>
      </c>
      <c r="Q15" s="8">
        <v>13550</v>
      </c>
      <c r="R15" s="8">
        <v>2730000</v>
      </c>
      <c r="S15" s="5">
        <f t="shared" si="0"/>
        <v>14.819812167161142</v>
      </c>
      <c r="T15" s="5" t="str">
        <f t="shared" si="1"/>
        <v>E</v>
      </c>
      <c r="U15" s="5">
        <f t="shared" si="2"/>
        <v>3</v>
      </c>
    </row>
    <row r="16" spans="1:21" x14ac:dyDescent="0.3">
      <c r="A16" s="6">
        <v>1</v>
      </c>
      <c r="B16" s="6">
        <v>0</v>
      </c>
      <c r="C16" s="6">
        <v>0</v>
      </c>
      <c r="D16" s="6">
        <v>1</v>
      </c>
      <c r="E16" s="6">
        <v>1</v>
      </c>
      <c r="F16" s="6">
        <v>1</v>
      </c>
      <c r="G16" s="6">
        <v>0</v>
      </c>
      <c r="H16" s="6">
        <v>1</v>
      </c>
      <c r="I16" s="6">
        <v>1</v>
      </c>
      <c r="J16" s="6">
        <v>1</v>
      </c>
      <c r="K16" s="6">
        <v>0</v>
      </c>
      <c r="L16" s="7">
        <v>2</v>
      </c>
      <c r="M16" s="7">
        <v>3</v>
      </c>
      <c r="N16" s="7" t="s">
        <v>8</v>
      </c>
      <c r="O16" s="7">
        <v>16</v>
      </c>
      <c r="P16" s="7">
        <v>15</v>
      </c>
      <c r="Q16" s="8">
        <v>8900</v>
      </c>
      <c r="R16" s="8">
        <v>1180000</v>
      </c>
      <c r="S16" s="5">
        <f t="shared" si="0"/>
        <v>13.981024996441848</v>
      </c>
      <c r="T16" s="5" t="str">
        <f t="shared" si="1"/>
        <v>D</v>
      </c>
      <c r="U16" s="5">
        <f t="shared" si="2"/>
        <v>4</v>
      </c>
    </row>
    <row r="17" spans="1:21" x14ac:dyDescent="0.3">
      <c r="A17" s="6">
        <v>0</v>
      </c>
      <c r="B17" s="6">
        <v>0</v>
      </c>
      <c r="C17" s="6">
        <v>0</v>
      </c>
      <c r="D17" s="6">
        <v>1</v>
      </c>
      <c r="E17" s="6">
        <v>1</v>
      </c>
      <c r="F17" s="6">
        <v>1</v>
      </c>
      <c r="G17" s="6">
        <v>0</v>
      </c>
      <c r="H17" s="6">
        <v>1</v>
      </c>
      <c r="I17" s="6">
        <v>1</v>
      </c>
      <c r="J17" s="6">
        <v>1</v>
      </c>
      <c r="K17" s="6">
        <v>1</v>
      </c>
      <c r="L17" s="7">
        <v>2</v>
      </c>
      <c r="M17" s="7">
        <v>2</v>
      </c>
      <c r="N17" s="7" t="s">
        <v>6</v>
      </c>
      <c r="O17" s="7">
        <v>12</v>
      </c>
      <c r="P17" s="7">
        <v>17</v>
      </c>
      <c r="Q17" s="8">
        <v>6600</v>
      </c>
      <c r="R17" s="8">
        <v>760000</v>
      </c>
      <c r="S17" s="5">
        <f t="shared" si="0"/>
        <v>13.541073712262515</v>
      </c>
      <c r="T17" s="5" t="str">
        <f t="shared" si="1"/>
        <v>G</v>
      </c>
      <c r="U17" s="5">
        <f t="shared" si="2"/>
        <v>1</v>
      </c>
    </row>
    <row r="18" spans="1:21" x14ac:dyDescent="0.3">
      <c r="A18" s="6">
        <v>1</v>
      </c>
      <c r="B18" s="6">
        <v>0</v>
      </c>
      <c r="C18" s="6">
        <v>0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7">
        <v>3</v>
      </c>
      <c r="M18" s="7">
        <v>4</v>
      </c>
      <c r="N18" s="7" t="s">
        <v>10</v>
      </c>
      <c r="O18" s="7">
        <v>4</v>
      </c>
      <c r="P18" s="7">
        <v>4</v>
      </c>
      <c r="Q18" s="8">
        <v>13000</v>
      </c>
      <c r="R18" s="8">
        <v>2600000</v>
      </c>
      <c r="S18" s="5">
        <f t="shared" si="0"/>
        <v>14.77102200299171</v>
      </c>
      <c r="T18" s="5" t="str">
        <f t="shared" si="1"/>
        <v>B</v>
      </c>
      <c r="U18" s="5">
        <f t="shared" si="2"/>
        <v>6</v>
      </c>
    </row>
    <row r="19" spans="1:21" x14ac:dyDescent="0.3">
      <c r="A19" s="6">
        <v>1</v>
      </c>
      <c r="B19" s="6">
        <v>0</v>
      </c>
      <c r="C19" s="6">
        <v>1</v>
      </c>
      <c r="D19" s="6">
        <v>1</v>
      </c>
      <c r="E19" s="6">
        <v>1</v>
      </c>
      <c r="F19" s="6">
        <v>1</v>
      </c>
      <c r="G19" s="6">
        <v>0</v>
      </c>
      <c r="H19" s="6">
        <v>1</v>
      </c>
      <c r="I19" s="6">
        <v>1</v>
      </c>
      <c r="J19" s="6">
        <v>1</v>
      </c>
      <c r="K19" s="6">
        <v>1</v>
      </c>
      <c r="L19" s="7">
        <v>1</v>
      </c>
      <c r="M19" s="7">
        <v>1</v>
      </c>
      <c r="N19" s="7" t="s">
        <v>12</v>
      </c>
      <c r="O19" s="7">
        <v>3</v>
      </c>
      <c r="P19" s="7">
        <v>7</v>
      </c>
      <c r="Q19" s="8">
        <v>10700</v>
      </c>
      <c r="R19" s="8">
        <v>700000</v>
      </c>
      <c r="S19" s="5">
        <f t="shared" si="0"/>
        <v>13.458835614025542</v>
      </c>
      <c r="T19" s="5" t="str">
        <f t="shared" si="1"/>
        <v>E</v>
      </c>
      <c r="U19" s="5">
        <f t="shared" si="2"/>
        <v>3</v>
      </c>
    </row>
    <row r="20" spans="1:21" x14ac:dyDescent="0.3">
      <c r="A20" s="6">
        <v>1</v>
      </c>
      <c r="B20" s="6">
        <v>0</v>
      </c>
      <c r="C20" s="6">
        <v>1</v>
      </c>
      <c r="D20" s="6">
        <v>0</v>
      </c>
      <c r="E20" s="6">
        <v>1</v>
      </c>
      <c r="F20" s="6">
        <v>1</v>
      </c>
      <c r="G20" s="6">
        <v>0</v>
      </c>
      <c r="H20" s="6">
        <v>1</v>
      </c>
      <c r="I20" s="6">
        <v>1</v>
      </c>
      <c r="J20" s="6">
        <v>1</v>
      </c>
      <c r="K20" s="6">
        <v>1</v>
      </c>
      <c r="L20" s="7">
        <v>2</v>
      </c>
      <c r="M20" s="7">
        <v>3</v>
      </c>
      <c r="N20" s="7" t="s">
        <v>12</v>
      </c>
      <c r="O20" s="7">
        <v>4</v>
      </c>
      <c r="P20" s="7">
        <v>8</v>
      </c>
      <c r="Q20" s="8">
        <v>9500</v>
      </c>
      <c r="R20" s="8">
        <v>1380000</v>
      </c>
      <c r="S20" s="5">
        <f t="shared" si="0"/>
        <v>14.137594057133388</v>
      </c>
      <c r="T20" s="5" t="str">
        <f t="shared" si="1"/>
        <v>E</v>
      </c>
      <c r="U20" s="5">
        <f t="shared" si="2"/>
        <v>3</v>
      </c>
    </row>
    <row r="21" spans="1:21" x14ac:dyDescent="0.3">
      <c r="A21" s="6">
        <v>1</v>
      </c>
      <c r="B21" s="6">
        <v>0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0</v>
      </c>
      <c r="L21" s="7">
        <v>1</v>
      </c>
      <c r="M21" s="7">
        <v>1</v>
      </c>
      <c r="N21" s="7" t="s">
        <v>11</v>
      </c>
      <c r="O21" s="7">
        <v>6</v>
      </c>
      <c r="P21" s="7">
        <v>12</v>
      </c>
      <c r="Q21" s="8">
        <v>6500</v>
      </c>
      <c r="R21" s="8">
        <v>470000</v>
      </c>
      <c r="S21" s="5">
        <f t="shared" si="0"/>
        <v>13.060487973686241</v>
      </c>
      <c r="T21" s="5" t="str">
        <f t="shared" si="1"/>
        <v>A</v>
      </c>
      <c r="U21" s="5">
        <f t="shared" si="2"/>
        <v>7</v>
      </c>
    </row>
    <row r="22" spans="1:21" x14ac:dyDescent="0.3">
      <c r="A22" s="6">
        <v>1</v>
      </c>
      <c r="B22" s="6">
        <v>0</v>
      </c>
      <c r="C22" s="6">
        <v>0</v>
      </c>
      <c r="D22" s="6">
        <v>1</v>
      </c>
      <c r="E22" s="6">
        <v>1</v>
      </c>
      <c r="F22" s="6">
        <v>1</v>
      </c>
      <c r="G22" s="6">
        <v>0</v>
      </c>
      <c r="H22" s="6">
        <v>1</v>
      </c>
      <c r="I22" s="6">
        <v>1</v>
      </c>
      <c r="J22" s="6">
        <v>1</v>
      </c>
      <c r="K22" s="6">
        <v>1</v>
      </c>
      <c r="L22" s="7">
        <v>3</v>
      </c>
      <c r="M22" s="7">
        <v>4</v>
      </c>
      <c r="N22" s="7" t="s">
        <v>13</v>
      </c>
      <c r="O22" s="7">
        <v>14</v>
      </c>
      <c r="P22" s="7">
        <v>15</v>
      </c>
      <c r="Q22" s="8">
        <v>10000</v>
      </c>
      <c r="R22" s="8">
        <v>2700000</v>
      </c>
      <c r="S22" s="5">
        <f t="shared" si="0"/>
        <v>14.808762330974558</v>
      </c>
      <c r="T22" s="5" t="str">
        <f t="shared" si="1"/>
        <v>F</v>
      </c>
      <c r="U22" s="5">
        <f t="shared" si="2"/>
        <v>2</v>
      </c>
    </row>
    <row r="23" spans="1:21" x14ac:dyDescent="0.3">
      <c r="A23" s="6">
        <v>1</v>
      </c>
      <c r="B23" s="6">
        <v>0</v>
      </c>
      <c r="C23" s="6">
        <v>1</v>
      </c>
      <c r="D23" s="6">
        <v>1</v>
      </c>
      <c r="E23" s="6">
        <v>1</v>
      </c>
      <c r="F23" s="6">
        <v>0</v>
      </c>
      <c r="G23" s="6">
        <v>0</v>
      </c>
      <c r="H23" s="6">
        <v>1</v>
      </c>
      <c r="I23" s="6">
        <v>1</v>
      </c>
      <c r="J23" s="6">
        <v>1</v>
      </c>
      <c r="K23" s="6">
        <v>1</v>
      </c>
      <c r="L23" s="7"/>
      <c r="M23" s="7">
        <v>1</v>
      </c>
      <c r="N23" s="7"/>
      <c r="O23" s="7">
        <v>20</v>
      </c>
      <c r="P23" s="7">
        <v>22</v>
      </c>
      <c r="Q23" s="8">
        <v>9300</v>
      </c>
      <c r="R23" s="8">
        <v>419000</v>
      </c>
      <c r="S23" s="5">
        <f t="shared" si="0"/>
        <v>12.945626198904275</v>
      </c>
      <c r="T23" s="5" t="str">
        <f t="shared" si="1"/>
        <v/>
      </c>
      <c r="U23" s="5" t="str">
        <f t="shared" si="2"/>
        <v/>
      </c>
    </row>
    <row r="24" spans="1:21" x14ac:dyDescent="0.3">
      <c r="A24" s="6">
        <v>1</v>
      </c>
      <c r="B24" s="6">
        <v>0</v>
      </c>
      <c r="C24" s="6">
        <v>1</v>
      </c>
      <c r="D24" s="6">
        <v>0</v>
      </c>
      <c r="E24" s="6">
        <v>1</v>
      </c>
      <c r="F24" s="6">
        <v>1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7">
        <v>1</v>
      </c>
      <c r="M24" s="7">
        <v>1</v>
      </c>
      <c r="N24" s="7" t="s">
        <v>12</v>
      </c>
      <c r="O24" s="7">
        <v>8</v>
      </c>
      <c r="P24" s="7">
        <v>17</v>
      </c>
      <c r="Q24" s="8">
        <v>8700</v>
      </c>
      <c r="R24" s="8">
        <v>565000</v>
      </c>
      <c r="S24" s="5">
        <f t="shared" si="0"/>
        <v>13.244581010128577</v>
      </c>
      <c r="T24" s="5" t="str">
        <f t="shared" si="1"/>
        <v>E</v>
      </c>
      <c r="U24" s="5">
        <f t="shared" si="2"/>
        <v>3</v>
      </c>
    </row>
    <row r="25" spans="1:21" x14ac:dyDescent="0.3">
      <c r="A25" s="6">
        <v>1</v>
      </c>
      <c r="B25" s="6">
        <v>0</v>
      </c>
      <c r="C25" s="6">
        <v>0</v>
      </c>
      <c r="D25" s="6">
        <v>1</v>
      </c>
      <c r="E25" s="6">
        <v>1</v>
      </c>
      <c r="F25" s="6">
        <v>1</v>
      </c>
      <c r="G25" s="6">
        <v>0</v>
      </c>
      <c r="H25" s="6">
        <v>1</v>
      </c>
      <c r="I25" s="6">
        <v>1</v>
      </c>
      <c r="J25" s="6">
        <v>1</v>
      </c>
      <c r="K25" s="6">
        <v>1</v>
      </c>
      <c r="L25" s="7">
        <v>1</v>
      </c>
      <c r="M25" s="7">
        <v>3</v>
      </c>
      <c r="N25" s="7"/>
      <c r="O25" s="7">
        <v>5</v>
      </c>
      <c r="P25" s="7">
        <v>10</v>
      </c>
      <c r="Q25" s="8">
        <v>6100</v>
      </c>
      <c r="R25" s="8">
        <v>948000</v>
      </c>
      <c r="S25" s="5">
        <f t="shared" si="0"/>
        <v>13.762109781237159</v>
      </c>
      <c r="T25" s="5" t="str">
        <f t="shared" si="1"/>
        <v/>
      </c>
      <c r="U25" s="5" t="str">
        <f t="shared" si="2"/>
        <v/>
      </c>
    </row>
    <row r="26" spans="1:21" x14ac:dyDescent="0.3">
      <c r="A26" s="6">
        <v>1</v>
      </c>
      <c r="B26" s="6">
        <v>0</v>
      </c>
      <c r="C26" s="6">
        <v>0</v>
      </c>
      <c r="D26" s="6">
        <v>1</v>
      </c>
      <c r="E26" s="6">
        <v>1</v>
      </c>
      <c r="F26" s="6">
        <v>1</v>
      </c>
      <c r="G26" s="6">
        <v>1</v>
      </c>
      <c r="H26" s="6">
        <v>1</v>
      </c>
      <c r="I26" s="6">
        <v>1</v>
      </c>
      <c r="J26" s="6">
        <v>1</v>
      </c>
      <c r="K26" s="6">
        <v>0</v>
      </c>
      <c r="L26" s="7">
        <v>2</v>
      </c>
      <c r="M26" s="7">
        <v>2</v>
      </c>
      <c r="N26" s="7" t="s">
        <v>8</v>
      </c>
      <c r="O26" s="7">
        <v>3</v>
      </c>
      <c r="P26" s="7">
        <v>7</v>
      </c>
      <c r="Q26" s="8">
        <v>8400</v>
      </c>
      <c r="R26" s="8">
        <v>800000</v>
      </c>
      <c r="S26" s="5">
        <f t="shared" si="0"/>
        <v>13.592367006650065</v>
      </c>
      <c r="T26" s="5" t="str">
        <f t="shared" si="1"/>
        <v>D</v>
      </c>
      <c r="U26" s="5">
        <f t="shared" si="2"/>
        <v>4</v>
      </c>
    </row>
    <row r="27" spans="1:21" x14ac:dyDescent="0.3">
      <c r="A27" s="6">
        <v>1</v>
      </c>
      <c r="B27" s="6">
        <v>0</v>
      </c>
      <c r="C27" s="6">
        <v>0</v>
      </c>
      <c r="D27" s="6">
        <v>1</v>
      </c>
      <c r="E27" s="6">
        <v>1</v>
      </c>
      <c r="F27" s="6">
        <v>0</v>
      </c>
      <c r="G27" s="6">
        <v>1</v>
      </c>
      <c r="H27" s="6">
        <v>1</v>
      </c>
      <c r="I27" s="6">
        <v>1</v>
      </c>
      <c r="J27" s="6">
        <v>1</v>
      </c>
      <c r="K27" s="6">
        <v>0</v>
      </c>
      <c r="L27" s="7">
        <v>1</v>
      </c>
      <c r="M27" s="7">
        <v>3</v>
      </c>
      <c r="N27" s="7"/>
      <c r="O27" s="7">
        <v>5</v>
      </c>
      <c r="P27" s="7">
        <v>10</v>
      </c>
      <c r="Q27" s="8">
        <v>6200</v>
      </c>
      <c r="R27" s="8">
        <v>948000</v>
      </c>
      <c r="S27" s="5">
        <f t="shared" si="0"/>
        <v>13.762109781237159</v>
      </c>
      <c r="T27" s="5" t="str">
        <f t="shared" si="1"/>
        <v/>
      </c>
      <c r="U27" s="5" t="str">
        <f t="shared" si="2"/>
        <v/>
      </c>
    </row>
    <row r="28" spans="1:21" x14ac:dyDescent="0.3">
      <c r="A28" s="6">
        <v>1</v>
      </c>
      <c r="B28" s="6">
        <v>0</v>
      </c>
      <c r="C28" s="6">
        <v>1</v>
      </c>
      <c r="D28" s="6">
        <v>1</v>
      </c>
      <c r="E28" s="6">
        <v>0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  <c r="L28" s="7">
        <v>1</v>
      </c>
      <c r="M28" s="7">
        <v>1</v>
      </c>
      <c r="N28" s="7" t="s">
        <v>6</v>
      </c>
      <c r="O28" s="7">
        <v>11</v>
      </c>
      <c r="P28" s="7">
        <v>19</v>
      </c>
      <c r="Q28" s="8">
        <v>4240</v>
      </c>
      <c r="R28" s="8">
        <v>318000</v>
      </c>
      <c r="S28" s="5">
        <f t="shared" si="0"/>
        <v>12.669806661762314</v>
      </c>
      <c r="T28" s="5" t="str">
        <f t="shared" si="1"/>
        <v>G</v>
      </c>
      <c r="U28" s="5">
        <f t="shared" si="2"/>
        <v>1</v>
      </c>
    </row>
    <row r="29" spans="1:21" x14ac:dyDescent="0.3">
      <c r="A29" s="6">
        <v>1</v>
      </c>
      <c r="B29" s="6">
        <v>0</v>
      </c>
      <c r="C29" s="6">
        <v>1</v>
      </c>
      <c r="D29" s="6">
        <v>0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7">
        <v>1</v>
      </c>
      <c r="M29" s="7">
        <v>1</v>
      </c>
      <c r="N29" s="7" t="s">
        <v>10</v>
      </c>
      <c r="O29" s="7">
        <v>8</v>
      </c>
      <c r="P29" s="7">
        <v>20</v>
      </c>
      <c r="Q29" s="8">
        <v>5270</v>
      </c>
      <c r="R29" s="8">
        <v>190000</v>
      </c>
      <c r="S29" s="5">
        <f t="shared" si="0"/>
        <v>12.154779351142624</v>
      </c>
      <c r="T29" s="5" t="str">
        <f t="shared" si="1"/>
        <v>B</v>
      </c>
      <c r="U29" s="5">
        <f t="shared" si="2"/>
        <v>6</v>
      </c>
    </row>
    <row r="30" spans="1:21" x14ac:dyDescent="0.3">
      <c r="A30" s="6">
        <v>1</v>
      </c>
      <c r="B30" s="6">
        <v>0</v>
      </c>
      <c r="C30" s="6">
        <v>0</v>
      </c>
      <c r="D30" s="6">
        <v>1</v>
      </c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7">
        <v>2</v>
      </c>
      <c r="M30" s="7">
        <v>2</v>
      </c>
      <c r="N30" s="7" t="s">
        <v>8</v>
      </c>
      <c r="O30" s="7">
        <v>14</v>
      </c>
      <c r="P30" s="7">
        <v>25</v>
      </c>
      <c r="Q30" s="8">
        <v>5580</v>
      </c>
      <c r="R30" s="8">
        <v>670000</v>
      </c>
      <c r="S30" s="5">
        <f t="shared" si="0"/>
        <v>13.415032991367148</v>
      </c>
      <c r="T30" s="5" t="str">
        <f t="shared" si="1"/>
        <v>D</v>
      </c>
      <c r="U30" s="5">
        <f t="shared" si="2"/>
        <v>4</v>
      </c>
    </row>
    <row r="31" spans="1:21" x14ac:dyDescent="0.3">
      <c r="A31" s="6">
        <v>1</v>
      </c>
      <c r="B31" s="6">
        <v>0</v>
      </c>
      <c r="C31" s="6">
        <v>0</v>
      </c>
      <c r="D31" s="6">
        <v>1</v>
      </c>
      <c r="E31" s="6">
        <v>1</v>
      </c>
      <c r="F31" s="6">
        <v>1</v>
      </c>
      <c r="G31" s="6">
        <v>0</v>
      </c>
      <c r="H31" s="6">
        <v>1</v>
      </c>
      <c r="I31" s="6">
        <v>1</v>
      </c>
      <c r="J31" s="6">
        <v>1</v>
      </c>
      <c r="K31" s="6">
        <v>1</v>
      </c>
      <c r="L31" s="7">
        <v>1</v>
      </c>
      <c r="M31" s="7">
        <v>1</v>
      </c>
      <c r="N31" s="7" t="s">
        <v>8</v>
      </c>
      <c r="O31" s="7">
        <v>12</v>
      </c>
      <c r="P31" s="7">
        <v>15</v>
      </c>
      <c r="Q31" s="8">
        <v>6000</v>
      </c>
      <c r="R31" s="8">
        <v>325000</v>
      </c>
      <c r="S31" s="5">
        <f t="shared" si="0"/>
        <v>12.691580461311874</v>
      </c>
      <c r="T31" s="5" t="str">
        <f t="shared" si="1"/>
        <v>D</v>
      </c>
      <c r="U31" s="5">
        <f t="shared" si="2"/>
        <v>4</v>
      </c>
    </row>
    <row r="32" spans="1:21" x14ac:dyDescent="0.3">
      <c r="A32" s="6">
        <v>1</v>
      </c>
      <c r="B32" s="6">
        <v>0</v>
      </c>
      <c r="C32" s="6">
        <v>1</v>
      </c>
      <c r="D32" s="6">
        <v>1</v>
      </c>
      <c r="E32" s="6">
        <v>1</v>
      </c>
      <c r="F32" s="6">
        <v>1</v>
      </c>
      <c r="G32" s="6">
        <v>1</v>
      </c>
      <c r="H32" s="6">
        <v>1</v>
      </c>
      <c r="I32" s="6">
        <v>1</v>
      </c>
      <c r="J32" s="6">
        <v>1</v>
      </c>
      <c r="K32" s="6">
        <v>1</v>
      </c>
      <c r="L32" s="7">
        <v>1</v>
      </c>
      <c r="M32" s="7">
        <v>2</v>
      </c>
      <c r="N32" s="7" t="s">
        <v>13</v>
      </c>
      <c r="O32" s="7">
        <v>24</v>
      </c>
      <c r="P32" s="7">
        <v>31</v>
      </c>
      <c r="Q32" s="8">
        <v>4600</v>
      </c>
      <c r="R32" s="8">
        <v>550000</v>
      </c>
      <c r="S32" s="5">
        <f t="shared" si="0"/>
        <v>13.217673557208654</v>
      </c>
      <c r="T32" s="5" t="str">
        <f t="shared" si="1"/>
        <v>F</v>
      </c>
      <c r="U32" s="5">
        <f t="shared" si="2"/>
        <v>2</v>
      </c>
    </row>
    <row r="33" spans="1:21" x14ac:dyDescent="0.3">
      <c r="A33" s="6">
        <v>1</v>
      </c>
      <c r="B33" s="6">
        <v>0</v>
      </c>
      <c r="C33" s="6">
        <v>1</v>
      </c>
      <c r="D33" s="6">
        <v>1</v>
      </c>
      <c r="E33" s="6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7">
        <v>1</v>
      </c>
      <c r="M33" s="7">
        <v>1</v>
      </c>
      <c r="N33" s="7" t="s">
        <v>12</v>
      </c>
      <c r="O33" s="7">
        <v>20</v>
      </c>
      <c r="P33" s="7">
        <v>37</v>
      </c>
      <c r="Q33" s="8">
        <v>4300</v>
      </c>
      <c r="R33" s="8">
        <v>215000</v>
      </c>
      <c r="S33" s="5">
        <f t="shared" si="0"/>
        <v>12.2783933071098</v>
      </c>
      <c r="T33" s="5" t="str">
        <f t="shared" si="1"/>
        <v>E</v>
      </c>
      <c r="U33" s="5">
        <f t="shared" si="2"/>
        <v>3</v>
      </c>
    </row>
    <row r="34" spans="1:21" x14ac:dyDescent="0.3">
      <c r="A34" s="6">
        <v>1</v>
      </c>
      <c r="B34" s="6">
        <v>0</v>
      </c>
      <c r="C34" s="6">
        <v>1</v>
      </c>
      <c r="D34" s="6">
        <v>1</v>
      </c>
      <c r="E34" s="6">
        <v>1</v>
      </c>
      <c r="F34" s="6">
        <v>1</v>
      </c>
      <c r="G34" s="6">
        <v>0</v>
      </c>
      <c r="H34" s="6">
        <v>0</v>
      </c>
      <c r="I34" s="6">
        <v>1</v>
      </c>
      <c r="J34" s="6">
        <v>0</v>
      </c>
      <c r="K34" s="6">
        <v>1</v>
      </c>
      <c r="L34" s="7">
        <v>1</v>
      </c>
      <c r="M34" s="7">
        <v>1</v>
      </c>
      <c r="N34" s="7" t="s">
        <v>12</v>
      </c>
      <c r="O34" s="7">
        <v>20</v>
      </c>
      <c r="P34" s="7">
        <v>29</v>
      </c>
      <c r="Q34" s="8">
        <v>5180</v>
      </c>
      <c r="R34" s="8">
        <v>259000</v>
      </c>
      <c r="S34" s="5">
        <f t="shared" si="0"/>
        <v>12.464583340681674</v>
      </c>
      <c r="T34" s="5" t="str">
        <f t="shared" si="1"/>
        <v>E</v>
      </c>
      <c r="U34" s="5">
        <f t="shared" si="2"/>
        <v>3</v>
      </c>
    </row>
    <row r="35" spans="1:21" x14ac:dyDescent="0.3">
      <c r="A35" s="6">
        <v>1</v>
      </c>
      <c r="B35" s="6">
        <v>0</v>
      </c>
      <c r="C35" s="6">
        <v>1</v>
      </c>
      <c r="D35" s="6">
        <v>0</v>
      </c>
      <c r="E35" s="6">
        <v>1</v>
      </c>
      <c r="F35" s="6">
        <v>1</v>
      </c>
      <c r="G35" s="6">
        <v>1</v>
      </c>
      <c r="H35" s="6">
        <v>0</v>
      </c>
      <c r="I35" s="6">
        <v>1</v>
      </c>
      <c r="J35" s="6">
        <v>0</v>
      </c>
      <c r="K35" s="6">
        <v>1</v>
      </c>
      <c r="L35" s="7">
        <v>1</v>
      </c>
      <c r="M35" s="7">
        <v>1</v>
      </c>
      <c r="N35" s="7" t="s">
        <v>12</v>
      </c>
      <c r="O35" s="7">
        <v>20</v>
      </c>
      <c r="P35" s="7">
        <v>27</v>
      </c>
      <c r="Q35" s="8">
        <v>4700</v>
      </c>
      <c r="R35" s="8">
        <v>275000</v>
      </c>
      <c r="S35" s="5">
        <f t="shared" si="0"/>
        <v>12.524526376648708</v>
      </c>
      <c r="T35" s="5" t="str">
        <f t="shared" si="1"/>
        <v>E</v>
      </c>
      <c r="U35" s="5">
        <f t="shared" si="2"/>
        <v>3</v>
      </c>
    </row>
    <row r="36" spans="1:21" x14ac:dyDescent="0.3">
      <c r="A36" s="6">
        <v>1</v>
      </c>
      <c r="B36" s="6">
        <v>0</v>
      </c>
      <c r="C36" s="6">
        <v>0</v>
      </c>
      <c r="D36" s="6">
        <v>1</v>
      </c>
      <c r="E36" s="6">
        <v>1</v>
      </c>
      <c r="F36" s="6">
        <v>1</v>
      </c>
      <c r="G36" s="6">
        <v>0</v>
      </c>
      <c r="H36" s="6">
        <v>1</v>
      </c>
      <c r="I36" s="6">
        <v>1</v>
      </c>
      <c r="J36" s="6">
        <v>0</v>
      </c>
      <c r="K36" s="6">
        <v>1</v>
      </c>
      <c r="L36" s="7">
        <v>2</v>
      </c>
      <c r="M36" s="7">
        <v>2</v>
      </c>
      <c r="N36" s="7" t="s">
        <v>10</v>
      </c>
      <c r="O36" s="7">
        <v>13</v>
      </c>
      <c r="P36" s="7">
        <v>16</v>
      </c>
      <c r="Q36" s="8">
        <v>6700</v>
      </c>
      <c r="R36" s="8">
        <v>539000</v>
      </c>
      <c r="S36" s="5">
        <f t="shared" si="0"/>
        <v>13.197470849891134</v>
      </c>
      <c r="T36" s="5" t="str">
        <f t="shared" si="1"/>
        <v>B</v>
      </c>
      <c r="U36" s="5">
        <f t="shared" si="2"/>
        <v>6</v>
      </c>
    </row>
    <row r="37" spans="1:21" x14ac:dyDescent="0.3">
      <c r="A37" s="6">
        <v>1</v>
      </c>
      <c r="B37" s="6">
        <v>0</v>
      </c>
      <c r="C37" s="6">
        <v>1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0</v>
      </c>
      <c r="K37" s="6">
        <v>1</v>
      </c>
      <c r="L37" s="7">
        <v>1</v>
      </c>
      <c r="M37" s="7">
        <v>1</v>
      </c>
      <c r="N37" s="7" t="s">
        <v>12</v>
      </c>
      <c r="O37" s="7">
        <v>13</v>
      </c>
      <c r="P37" s="7">
        <v>15</v>
      </c>
      <c r="Q37" s="8">
        <v>6100</v>
      </c>
      <c r="R37" s="8">
        <v>400000</v>
      </c>
      <c r="S37" s="5">
        <f t="shared" si="0"/>
        <v>12.899219826090119</v>
      </c>
      <c r="T37" s="5" t="str">
        <f t="shared" si="1"/>
        <v>E</v>
      </c>
      <c r="U37" s="5">
        <f t="shared" si="2"/>
        <v>3</v>
      </c>
    </row>
    <row r="38" spans="1:21" x14ac:dyDescent="0.3">
      <c r="A38" s="6">
        <v>1</v>
      </c>
      <c r="B38" s="6">
        <v>0</v>
      </c>
      <c r="C38" s="6">
        <v>0</v>
      </c>
      <c r="D38" s="6">
        <v>1</v>
      </c>
      <c r="E38" s="6">
        <v>1</v>
      </c>
      <c r="F38" s="6">
        <v>1</v>
      </c>
      <c r="G38" s="6">
        <v>1</v>
      </c>
      <c r="H38" s="6">
        <v>0</v>
      </c>
      <c r="I38" s="6">
        <v>1</v>
      </c>
      <c r="J38" s="6">
        <v>0</v>
      </c>
      <c r="K38" s="6">
        <v>1</v>
      </c>
      <c r="L38" s="7">
        <v>2</v>
      </c>
      <c r="M38" s="7">
        <v>1</v>
      </c>
      <c r="N38" s="7" t="s">
        <v>6</v>
      </c>
      <c r="O38" s="7">
        <v>17</v>
      </c>
      <c r="P38" s="7">
        <v>34</v>
      </c>
      <c r="Q38" s="8">
        <v>4341</v>
      </c>
      <c r="R38" s="8">
        <v>369000</v>
      </c>
      <c r="S38" s="5">
        <f t="shared" si="0"/>
        <v>12.818551923022664</v>
      </c>
      <c r="T38" s="5" t="str">
        <f t="shared" si="1"/>
        <v>G</v>
      </c>
      <c r="U38" s="5">
        <f t="shared" si="2"/>
        <v>1</v>
      </c>
    </row>
    <row r="39" spans="1:21" x14ac:dyDescent="0.3">
      <c r="A39" s="6">
        <v>1</v>
      </c>
      <c r="B39" s="6">
        <v>0</v>
      </c>
      <c r="C39" s="6">
        <v>0</v>
      </c>
      <c r="D39" s="6">
        <v>0</v>
      </c>
      <c r="E39" s="6">
        <v>1</v>
      </c>
      <c r="F39" s="6">
        <v>1</v>
      </c>
      <c r="G39" s="6">
        <v>0</v>
      </c>
      <c r="H39" s="6">
        <v>0</v>
      </c>
      <c r="I39" s="6">
        <v>1</v>
      </c>
      <c r="J39" s="6">
        <v>0</v>
      </c>
      <c r="K39" s="6">
        <v>1</v>
      </c>
      <c r="L39" s="7">
        <v>1</v>
      </c>
      <c r="M39" s="7">
        <v>1</v>
      </c>
      <c r="N39" s="7" t="s">
        <v>8</v>
      </c>
      <c r="O39" s="7">
        <v>20</v>
      </c>
      <c r="P39" s="7">
        <v>38</v>
      </c>
      <c r="Q39" s="8">
        <v>3590</v>
      </c>
      <c r="R39" s="8">
        <v>359000</v>
      </c>
      <c r="S39" s="5">
        <f t="shared" si="0"/>
        <v>12.791077667470416</v>
      </c>
      <c r="T39" s="5" t="str">
        <f t="shared" si="1"/>
        <v>D</v>
      </c>
      <c r="U39" s="5">
        <f t="shared" si="2"/>
        <v>4</v>
      </c>
    </row>
    <row r="40" spans="1:21" x14ac:dyDescent="0.3">
      <c r="A40" s="6">
        <v>1</v>
      </c>
      <c r="B40" s="6">
        <v>0</v>
      </c>
      <c r="C40" s="6">
        <v>0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7">
        <v>2</v>
      </c>
      <c r="M40" s="7">
        <v>2</v>
      </c>
      <c r="N40" s="7" t="s">
        <v>12</v>
      </c>
      <c r="O40" s="7">
        <v>14</v>
      </c>
      <c r="P40" s="7">
        <v>27</v>
      </c>
      <c r="Q40" s="8">
        <v>3455</v>
      </c>
      <c r="R40" s="8">
        <v>380000</v>
      </c>
      <c r="S40" s="5">
        <f t="shared" si="0"/>
        <v>12.847926531702569</v>
      </c>
      <c r="T40" s="5" t="str">
        <f t="shared" si="1"/>
        <v>E</v>
      </c>
      <c r="U40" s="5">
        <f t="shared" si="2"/>
        <v>3</v>
      </c>
    </row>
    <row r="41" spans="1:21" x14ac:dyDescent="0.3">
      <c r="A41" s="6">
        <v>1</v>
      </c>
      <c r="B41" s="6">
        <v>0</v>
      </c>
      <c r="C41" s="6">
        <v>0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7">
        <v>2</v>
      </c>
      <c r="M41" s="7">
        <v>2</v>
      </c>
      <c r="N41" s="7" t="s">
        <v>11</v>
      </c>
      <c r="O41" s="7">
        <v>18</v>
      </c>
      <c r="P41" s="7">
        <v>28</v>
      </c>
      <c r="Q41" s="8">
        <v>6000</v>
      </c>
      <c r="R41" s="8">
        <v>695000</v>
      </c>
      <c r="S41" s="5">
        <f t="shared" si="0"/>
        <v>13.45166712454693</v>
      </c>
      <c r="T41" s="5" t="str">
        <f t="shared" si="1"/>
        <v>A</v>
      </c>
      <c r="U41" s="5">
        <f t="shared" si="2"/>
        <v>7</v>
      </c>
    </row>
    <row r="42" spans="1:21" x14ac:dyDescent="0.3">
      <c r="A42" s="6">
        <v>1</v>
      </c>
      <c r="B42" s="6">
        <v>0</v>
      </c>
      <c r="C42" s="6">
        <v>0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0</v>
      </c>
      <c r="K42" s="6">
        <v>1</v>
      </c>
      <c r="L42" s="7">
        <v>1</v>
      </c>
      <c r="M42" s="7">
        <v>2</v>
      </c>
      <c r="N42" s="7" t="s">
        <v>8</v>
      </c>
      <c r="O42" s="7">
        <v>15</v>
      </c>
      <c r="P42" s="7">
        <v>34</v>
      </c>
      <c r="Q42" s="8">
        <v>3656</v>
      </c>
      <c r="R42" s="8">
        <v>329000</v>
      </c>
      <c r="S42" s="5">
        <f t="shared" si="0"/>
        <v>12.70381302974751</v>
      </c>
      <c r="T42" s="5" t="str">
        <f t="shared" si="1"/>
        <v>D</v>
      </c>
      <c r="U42" s="5">
        <f t="shared" si="2"/>
        <v>4</v>
      </c>
    </row>
    <row r="43" spans="1:21" x14ac:dyDescent="0.3">
      <c r="A43" s="6">
        <v>1</v>
      </c>
      <c r="B43" s="6">
        <v>0</v>
      </c>
      <c r="C43" s="6">
        <v>1</v>
      </c>
      <c r="D43" s="6">
        <v>0</v>
      </c>
      <c r="E43" s="6">
        <v>1</v>
      </c>
      <c r="F43" s="6">
        <v>1</v>
      </c>
      <c r="G43" s="6">
        <v>0</v>
      </c>
      <c r="H43" s="6">
        <v>0</v>
      </c>
      <c r="I43" s="6">
        <v>1</v>
      </c>
      <c r="J43" s="6">
        <v>0</v>
      </c>
      <c r="K43" s="6">
        <v>1</v>
      </c>
      <c r="L43" s="7">
        <v>1</v>
      </c>
      <c r="M43" s="7">
        <v>2</v>
      </c>
      <c r="N43" s="7" t="s">
        <v>8</v>
      </c>
      <c r="O43" s="7">
        <v>21</v>
      </c>
      <c r="P43" s="7">
        <v>51</v>
      </c>
      <c r="Q43" s="8">
        <v>2740</v>
      </c>
      <c r="R43" s="8">
        <v>184000</v>
      </c>
      <c r="S43" s="5">
        <f t="shared" si="0"/>
        <v>12.122691036591123</v>
      </c>
      <c r="T43" s="5" t="str">
        <f t="shared" si="1"/>
        <v>D</v>
      </c>
      <c r="U43" s="5">
        <f t="shared" si="2"/>
        <v>4</v>
      </c>
    </row>
    <row r="44" spans="1:21" x14ac:dyDescent="0.3">
      <c r="A44" s="6">
        <v>1</v>
      </c>
      <c r="B44" s="6">
        <v>0</v>
      </c>
      <c r="C44" s="6">
        <v>0</v>
      </c>
      <c r="D44" s="6">
        <v>1</v>
      </c>
      <c r="E44" s="6">
        <v>1</v>
      </c>
      <c r="F44" s="6">
        <v>1</v>
      </c>
      <c r="G44" s="6">
        <v>0</v>
      </c>
      <c r="H44" s="6">
        <v>0</v>
      </c>
      <c r="I44" s="6">
        <v>1</v>
      </c>
      <c r="J44" s="6">
        <v>0</v>
      </c>
      <c r="K44" s="6">
        <v>0</v>
      </c>
      <c r="L44" s="7">
        <v>2</v>
      </c>
      <c r="M44" s="7">
        <v>2</v>
      </c>
      <c r="N44" s="7" t="s">
        <v>8</v>
      </c>
      <c r="O44" s="7">
        <v>18</v>
      </c>
      <c r="P44" s="7">
        <v>53</v>
      </c>
      <c r="Q44" s="8">
        <v>3072</v>
      </c>
      <c r="R44" s="8">
        <v>470000</v>
      </c>
      <c r="S44" s="5">
        <f t="shared" si="0"/>
        <v>13.060487973686241</v>
      </c>
      <c r="T44" s="5" t="str">
        <f t="shared" si="1"/>
        <v>D</v>
      </c>
      <c r="U44" s="5">
        <f t="shared" si="2"/>
        <v>4</v>
      </c>
    </row>
    <row r="45" spans="1:21" x14ac:dyDescent="0.3">
      <c r="A45" s="6">
        <v>1</v>
      </c>
      <c r="B45" s="6">
        <v>0</v>
      </c>
      <c r="C45" s="6">
        <v>1</v>
      </c>
      <c r="D45" s="6">
        <v>0</v>
      </c>
      <c r="E45" s="6">
        <v>1</v>
      </c>
      <c r="F45" s="6">
        <v>1</v>
      </c>
      <c r="G45" s="6">
        <v>1</v>
      </c>
      <c r="H45" s="6">
        <v>0</v>
      </c>
      <c r="I45" s="6">
        <v>0</v>
      </c>
      <c r="J45" s="6">
        <v>1</v>
      </c>
      <c r="K45" s="6">
        <v>0</v>
      </c>
      <c r="L45" s="7">
        <v>1</v>
      </c>
      <c r="M45" s="7">
        <v>1</v>
      </c>
      <c r="N45" s="7" t="s">
        <v>8</v>
      </c>
      <c r="O45" s="7">
        <v>16</v>
      </c>
      <c r="P45" s="7">
        <v>32</v>
      </c>
      <c r="Q45" s="8">
        <v>5100</v>
      </c>
      <c r="R45" s="8">
        <v>230000</v>
      </c>
      <c r="S45" s="5">
        <f t="shared" si="0"/>
        <v>12.345834587905333</v>
      </c>
      <c r="T45" s="5" t="str">
        <f t="shared" si="1"/>
        <v>D</v>
      </c>
      <c r="U45" s="5">
        <f t="shared" si="2"/>
        <v>4</v>
      </c>
    </row>
    <row r="46" spans="1:21" x14ac:dyDescent="0.3">
      <c r="A46" s="6">
        <v>0</v>
      </c>
      <c r="B46" s="6">
        <v>0</v>
      </c>
      <c r="C46" s="6">
        <v>1</v>
      </c>
      <c r="D46" s="6">
        <v>1</v>
      </c>
      <c r="E46" s="6">
        <v>1</v>
      </c>
      <c r="F46" s="6">
        <v>1</v>
      </c>
      <c r="G46" s="6">
        <v>1</v>
      </c>
      <c r="H46" s="6">
        <v>0</v>
      </c>
      <c r="I46" s="6">
        <v>1</v>
      </c>
      <c r="J46" s="6">
        <v>0</v>
      </c>
      <c r="K46" s="6">
        <v>1</v>
      </c>
      <c r="L46" s="7">
        <v>1</v>
      </c>
      <c r="M46" s="7">
        <v>1</v>
      </c>
      <c r="N46" s="7" t="s">
        <v>11</v>
      </c>
      <c r="O46" s="7">
        <v>21</v>
      </c>
      <c r="P46" s="7">
        <v>12</v>
      </c>
      <c r="Q46" s="8">
        <v>5700</v>
      </c>
      <c r="R46" s="8">
        <v>350000</v>
      </c>
      <c r="S46" s="5">
        <f t="shared" si="0"/>
        <v>12.765688433465597</v>
      </c>
      <c r="T46" s="5" t="str">
        <f t="shared" si="1"/>
        <v>A</v>
      </c>
      <c r="U46" s="5">
        <f t="shared" si="2"/>
        <v>7</v>
      </c>
    </row>
    <row r="47" spans="1:21" x14ac:dyDescent="0.3">
      <c r="A47" s="6">
        <v>1</v>
      </c>
      <c r="B47" s="6">
        <v>0</v>
      </c>
      <c r="C47" s="6">
        <v>1</v>
      </c>
      <c r="D47" s="6">
        <v>1</v>
      </c>
      <c r="E47" s="6">
        <v>1</v>
      </c>
      <c r="F47" s="6">
        <v>0</v>
      </c>
      <c r="G47" s="6">
        <v>0</v>
      </c>
      <c r="H47" s="6">
        <v>0</v>
      </c>
      <c r="I47" s="6">
        <v>0</v>
      </c>
      <c r="J47" s="6">
        <v>1</v>
      </c>
      <c r="K47" s="6">
        <v>0</v>
      </c>
      <c r="L47" s="7">
        <v>1</v>
      </c>
      <c r="M47" s="7">
        <v>1</v>
      </c>
      <c r="N47" s="7" t="s">
        <v>13</v>
      </c>
      <c r="O47" s="7">
        <v>55</v>
      </c>
      <c r="P47" s="7">
        <v>20</v>
      </c>
      <c r="Q47" s="8">
        <v>2650</v>
      </c>
      <c r="R47" s="8">
        <v>160000</v>
      </c>
      <c r="S47" s="5">
        <f t="shared" si="0"/>
        <v>11.982929094215963</v>
      </c>
      <c r="T47" s="5" t="str">
        <f t="shared" si="1"/>
        <v>F</v>
      </c>
      <c r="U47" s="5">
        <f t="shared" si="2"/>
        <v>2</v>
      </c>
    </row>
    <row r="48" spans="1:21" x14ac:dyDescent="0.3">
      <c r="A48" s="6">
        <v>1</v>
      </c>
      <c r="B48" s="6">
        <v>0</v>
      </c>
      <c r="C48" s="6">
        <v>0</v>
      </c>
      <c r="D48" s="6">
        <v>1</v>
      </c>
      <c r="E48" s="6">
        <v>1</v>
      </c>
      <c r="F48" s="6">
        <v>1</v>
      </c>
      <c r="G48" s="6">
        <v>0</v>
      </c>
      <c r="H48" s="6">
        <v>1</v>
      </c>
      <c r="I48" s="6">
        <v>1</v>
      </c>
      <c r="J48" s="6">
        <v>1</v>
      </c>
      <c r="K48" s="6">
        <v>1</v>
      </c>
      <c r="L48" s="7">
        <v>3</v>
      </c>
      <c r="M48" s="7">
        <v>4</v>
      </c>
      <c r="N48" s="7" t="s">
        <v>8</v>
      </c>
      <c r="O48" s="7">
        <v>13</v>
      </c>
      <c r="P48" s="7">
        <v>17</v>
      </c>
      <c r="Q48" s="8">
        <v>3600</v>
      </c>
      <c r="R48" s="8">
        <v>329000</v>
      </c>
      <c r="S48" s="5">
        <f t="shared" si="0"/>
        <v>12.70381302974751</v>
      </c>
      <c r="T48" s="5" t="str">
        <f t="shared" si="1"/>
        <v>D</v>
      </c>
      <c r="U48" s="5">
        <f t="shared" si="2"/>
        <v>4</v>
      </c>
    </row>
    <row r="49" spans="1:21" x14ac:dyDescent="0.3">
      <c r="A49" s="6">
        <v>1</v>
      </c>
      <c r="B49" s="6">
        <v>0</v>
      </c>
      <c r="C49" s="6">
        <v>0</v>
      </c>
      <c r="D49" s="6">
        <v>1</v>
      </c>
      <c r="E49" s="6">
        <v>1</v>
      </c>
      <c r="F49" s="6">
        <v>1</v>
      </c>
      <c r="G49" s="6">
        <v>0</v>
      </c>
      <c r="H49" s="6">
        <v>1</v>
      </c>
      <c r="I49" s="6">
        <v>1</v>
      </c>
      <c r="J49" s="6">
        <v>1</v>
      </c>
      <c r="K49" s="6">
        <v>1</v>
      </c>
      <c r="L49" s="7">
        <v>2</v>
      </c>
      <c r="M49" s="7">
        <v>3</v>
      </c>
      <c r="N49" s="7" t="s">
        <v>13</v>
      </c>
      <c r="O49" s="7">
        <v>16</v>
      </c>
      <c r="P49" s="7">
        <v>24</v>
      </c>
      <c r="Q49" s="8">
        <v>9250</v>
      </c>
      <c r="R49" s="8">
        <v>1250000</v>
      </c>
      <c r="S49" s="5">
        <f t="shared" si="0"/>
        <v>14.038654109278484</v>
      </c>
      <c r="T49" s="5" t="str">
        <f t="shared" si="1"/>
        <v>F</v>
      </c>
      <c r="U49" s="5">
        <f t="shared" si="2"/>
        <v>2</v>
      </c>
    </row>
    <row r="50" spans="1:21" x14ac:dyDescent="0.3">
      <c r="A50" s="6">
        <v>1</v>
      </c>
      <c r="B50" s="6">
        <v>0</v>
      </c>
      <c r="C50" s="6">
        <v>1</v>
      </c>
      <c r="D50" s="6">
        <v>1</v>
      </c>
      <c r="E50" s="6">
        <v>1</v>
      </c>
      <c r="F50" s="6">
        <v>1</v>
      </c>
      <c r="G50" s="6">
        <v>0</v>
      </c>
      <c r="H50" s="6">
        <v>1</v>
      </c>
      <c r="I50" s="6">
        <v>1</v>
      </c>
      <c r="J50" s="6">
        <v>1</v>
      </c>
      <c r="K50" s="6">
        <v>1</v>
      </c>
      <c r="L50" s="7">
        <v>1</v>
      </c>
      <c r="M50" s="7">
        <v>1</v>
      </c>
      <c r="N50" s="7" t="s">
        <v>8</v>
      </c>
      <c r="O50" s="7">
        <v>12</v>
      </c>
      <c r="P50" s="7">
        <v>19</v>
      </c>
      <c r="Q50" s="8">
        <v>9200</v>
      </c>
      <c r="R50" s="8">
        <v>555000</v>
      </c>
      <c r="S50" s="5">
        <f t="shared" si="0"/>
        <v>13.226723392728571</v>
      </c>
      <c r="T50" s="5" t="str">
        <f t="shared" si="1"/>
        <v>D</v>
      </c>
      <c r="U50" s="5">
        <f t="shared" si="2"/>
        <v>4</v>
      </c>
    </row>
    <row r="51" spans="1:21" x14ac:dyDescent="0.3">
      <c r="A51" s="6">
        <v>1</v>
      </c>
      <c r="B51" s="6">
        <v>0</v>
      </c>
      <c r="C51" s="6">
        <v>0</v>
      </c>
      <c r="D51" s="6">
        <v>0</v>
      </c>
      <c r="E51" s="6">
        <v>1</v>
      </c>
      <c r="F51" s="6">
        <v>1</v>
      </c>
      <c r="G51" s="6">
        <v>0</v>
      </c>
      <c r="H51" s="6">
        <v>1</v>
      </c>
      <c r="I51" s="6">
        <v>1</v>
      </c>
      <c r="J51" s="6">
        <v>1</v>
      </c>
      <c r="K51" s="6">
        <v>1</v>
      </c>
      <c r="L51" s="7">
        <v>2</v>
      </c>
      <c r="M51" s="7">
        <v>3</v>
      </c>
      <c r="N51" s="7" t="s">
        <v>6</v>
      </c>
      <c r="O51" s="7">
        <v>16</v>
      </c>
      <c r="P51" s="7">
        <v>9</v>
      </c>
      <c r="Q51" s="8">
        <v>8800</v>
      </c>
      <c r="R51" s="8">
        <v>1600000</v>
      </c>
      <c r="S51" s="5">
        <f t="shared" si="0"/>
        <v>14.28551418721001</v>
      </c>
      <c r="T51" s="5" t="str">
        <f t="shared" si="1"/>
        <v>G</v>
      </c>
      <c r="U51" s="5">
        <f t="shared" si="2"/>
        <v>1</v>
      </c>
    </row>
    <row r="52" spans="1:21" x14ac:dyDescent="0.3">
      <c r="A52" s="6">
        <v>1</v>
      </c>
      <c r="B52" s="6">
        <v>0</v>
      </c>
      <c r="C52" s="6">
        <v>1</v>
      </c>
      <c r="D52" s="6">
        <v>1</v>
      </c>
      <c r="E52" s="6">
        <v>1</v>
      </c>
      <c r="F52" s="6">
        <v>1</v>
      </c>
      <c r="G52" s="6">
        <v>1</v>
      </c>
      <c r="H52" s="6">
        <v>1</v>
      </c>
      <c r="I52" s="6">
        <v>1</v>
      </c>
      <c r="J52" s="6">
        <v>1</v>
      </c>
      <c r="K52" s="6">
        <v>1</v>
      </c>
      <c r="L52" s="7">
        <v>2</v>
      </c>
      <c r="M52" s="7">
        <v>1</v>
      </c>
      <c r="N52" s="7" t="s">
        <v>8</v>
      </c>
      <c r="O52" s="7">
        <v>14</v>
      </c>
      <c r="P52" s="7">
        <v>23</v>
      </c>
      <c r="Q52" s="7">
        <v>6600</v>
      </c>
      <c r="R52" s="7">
        <v>495000</v>
      </c>
      <c r="S52" s="5">
        <f t="shared" si="0"/>
        <v>13.112313041550827</v>
      </c>
      <c r="T52" s="5" t="str">
        <f t="shared" si="1"/>
        <v>D</v>
      </c>
      <c r="U52" s="5">
        <f t="shared" si="2"/>
        <v>4</v>
      </c>
    </row>
    <row r="53" spans="1:21" x14ac:dyDescent="0.3">
      <c r="A53" s="6">
        <v>1</v>
      </c>
      <c r="B53" s="6">
        <v>0</v>
      </c>
      <c r="C53" s="6">
        <v>0</v>
      </c>
      <c r="D53" s="6">
        <v>0</v>
      </c>
      <c r="E53" s="6">
        <v>1</v>
      </c>
      <c r="F53" s="6">
        <v>1</v>
      </c>
      <c r="G53" s="6">
        <v>1</v>
      </c>
      <c r="H53" s="6">
        <v>1</v>
      </c>
      <c r="I53" s="6">
        <v>1</v>
      </c>
      <c r="J53" s="6">
        <v>1</v>
      </c>
      <c r="K53" s="6">
        <v>1</v>
      </c>
      <c r="L53" s="7">
        <v>3</v>
      </c>
      <c r="M53" s="7">
        <v>2</v>
      </c>
      <c r="N53" s="7" t="s">
        <v>11</v>
      </c>
      <c r="O53" s="7">
        <v>13</v>
      </c>
      <c r="P53" s="7">
        <v>24</v>
      </c>
      <c r="Q53" s="7">
        <v>13000</v>
      </c>
      <c r="R53" s="7">
        <v>2730000</v>
      </c>
      <c r="S53" s="5">
        <f t="shared" si="0"/>
        <v>14.819812167161142</v>
      </c>
      <c r="T53" s="5" t="str">
        <f t="shared" si="1"/>
        <v>A</v>
      </c>
      <c r="U53" s="5">
        <f t="shared" si="2"/>
        <v>7</v>
      </c>
    </row>
    <row r="54" spans="1:21" x14ac:dyDescent="0.3">
      <c r="A54" s="6">
        <v>1</v>
      </c>
      <c r="B54" s="6">
        <v>0</v>
      </c>
      <c r="C54" s="6">
        <v>0</v>
      </c>
      <c r="D54" s="6">
        <v>0</v>
      </c>
      <c r="E54" s="6">
        <v>1</v>
      </c>
      <c r="F54" s="6">
        <v>0</v>
      </c>
      <c r="G54" s="6">
        <v>1</v>
      </c>
      <c r="H54" s="6">
        <v>1</v>
      </c>
      <c r="I54" s="6">
        <v>1</v>
      </c>
      <c r="J54" s="6">
        <v>1</v>
      </c>
      <c r="K54" s="6">
        <v>1</v>
      </c>
      <c r="L54" s="7">
        <v>1</v>
      </c>
      <c r="M54" s="7">
        <v>1</v>
      </c>
      <c r="N54" s="7" t="s">
        <v>8</v>
      </c>
      <c r="O54" s="7">
        <v>20</v>
      </c>
      <c r="P54" s="7">
        <v>21</v>
      </c>
      <c r="Q54" s="7">
        <v>4800</v>
      </c>
      <c r="R54" s="7">
        <v>315000</v>
      </c>
      <c r="S54" s="5">
        <f t="shared" si="0"/>
        <v>12.66032791780777</v>
      </c>
      <c r="T54" s="5" t="str">
        <f t="shared" si="1"/>
        <v>D</v>
      </c>
      <c r="U54" s="5">
        <f t="shared" si="2"/>
        <v>4</v>
      </c>
    </row>
    <row r="55" spans="1:21" x14ac:dyDescent="0.3">
      <c r="A55" s="6">
        <v>1</v>
      </c>
      <c r="B55" s="6">
        <v>0</v>
      </c>
      <c r="C55" s="6">
        <v>0</v>
      </c>
      <c r="D55" s="6">
        <v>1</v>
      </c>
      <c r="E55" s="6">
        <v>1</v>
      </c>
      <c r="F55" s="6">
        <v>0</v>
      </c>
      <c r="G55" s="6">
        <v>0</v>
      </c>
      <c r="H55" s="6">
        <v>1</v>
      </c>
      <c r="I55" s="6">
        <v>1</v>
      </c>
      <c r="J55" s="6">
        <v>1</v>
      </c>
      <c r="K55" s="6">
        <v>1</v>
      </c>
      <c r="L55" s="7">
        <v>1</v>
      </c>
      <c r="M55" s="7">
        <v>2</v>
      </c>
      <c r="N55" s="7" t="s">
        <v>10</v>
      </c>
      <c r="O55" s="7">
        <v>14</v>
      </c>
      <c r="P55" s="7">
        <v>19</v>
      </c>
      <c r="Q55" s="7">
        <v>4853</v>
      </c>
      <c r="R55" s="7">
        <v>495000</v>
      </c>
      <c r="S55" s="5">
        <f t="shared" si="0"/>
        <v>13.112313041550827</v>
      </c>
      <c r="T55" s="5" t="str">
        <f t="shared" si="1"/>
        <v>B</v>
      </c>
      <c r="U55" s="5">
        <f t="shared" si="2"/>
        <v>6</v>
      </c>
    </row>
    <row r="56" spans="1:21" x14ac:dyDescent="0.3">
      <c r="A56" s="6">
        <v>1</v>
      </c>
      <c r="B56" s="6">
        <v>0</v>
      </c>
      <c r="C56" s="6">
        <v>0</v>
      </c>
      <c r="D56" s="6">
        <v>0</v>
      </c>
      <c r="E56" s="6">
        <v>1</v>
      </c>
      <c r="F56" s="6">
        <v>0</v>
      </c>
      <c r="G56" s="6">
        <v>1</v>
      </c>
      <c r="H56" s="6">
        <v>1</v>
      </c>
      <c r="I56" s="6">
        <v>1</v>
      </c>
      <c r="J56" s="6">
        <v>1</v>
      </c>
      <c r="K56" s="6">
        <v>1</v>
      </c>
      <c r="L56" s="7">
        <v>1</v>
      </c>
      <c r="M56" s="7">
        <v>1</v>
      </c>
      <c r="N56" s="7" t="s">
        <v>13</v>
      </c>
      <c r="O56" s="7">
        <v>17</v>
      </c>
      <c r="P56" s="7">
        <v>18</v>
      </c>
      <c r="Q56" s="7">
        <v>5000</v>
      </c>
      <c r="R56" s="7">
        <v>215000</v>
      </c>
      <c r="S56" s="5">
        <f t="shared" si="0"/>
        <v>12.2783933071098</v>
      </c>
      <c r="T56" s="5" t="str">
        <f t="shared" si="1"/>
        <v>F</v>
      </c>
      <c r="U56" s="5">
        <f t="shared" si="2"/>
        <v>2</v>
      </c>
    </row>
    <row r="57" spans="1:21" x14ac:dyDescent="0.3">
      <c r="A57" s="6">
        <v>1</v>
      </c>
      <c r="B57" s="6">
        <v>0</v>
      </c>
      <c r="C57" s="6">
        <v>1</v>
      </c>
      <c r="D57" s="6">
        <v>1</v>
      </c>
      <c r="E57" s="6">
        <v>1</v>
      </c>
      <c r="F57" s="6">
        <v>1</v>
      </c>
      <c r="G57" s="6">
        <v>0</v>
      </c>
      <c r="H57" s="6">
        <v>1</v>
      </c>
      <c r="I57" s="6">
        <v>1</v>
      </c>
      <c r="J57" s="6">
        <v>1</v>
      </c>
      <c r="K57" s="6">
        <v>1</v>
      </c>
      <c r="L57" s="7">
        <v>1</v>
      </c>
      <c r="M57" s="7">
        <v>1</v>
      </c>
      <c r="N57" s="7" t="s">
        <v>11</v>
      </c>
      <c r="O57" s="7">
        <v>19</v>
      </c>
      <c r="P57" s="7">
        <v>33</v>
      </c>
      <c r="Q57" s="7">
        <v>5390</v>
      </c>
      <c r="R57" s="7">
        <v>235000</v>
      </c>
      <c r="S57" s="5">
        <f t="shared" si="0"/>
        <v>12.367340793126296</v>
      </c>
      <c r="T57" s="5" t="str">
        <f t="shared" si="1"/>
        <v>A</v>
      </c>
      <c r="U57" s="5">
        <f t="shared" si="2"/>
        <v>7</v>
      </c>
    </row>
    <row r="58" spans="1:21" x14ac:dyDescent="0.3">
      <c r="A58" s="6">
        <v>1</v>
      </c>
      <c r="B58" s="6">
        <v>0</v>
      </c>
      <c r="C58" s="6">
        <v>0</v>
      </c>
      <c r="D58" s="6">
        <v>1</v>
      </c>
      <c r="E58" s="6">
        <v>0</v>
      </c>
      <c r="F58" s="6">
        <v>0</v>
      </c>
      <c r="G58" s="6">
        <v>0</v>
      </c>
      <c r="H58" s="6">
        <v>1</v>
      </c>
      <c r="I58" s="6">
        <v>1</v>
      </c>
      <c r="J58" s="6">
        <v>1</v>
      </c>
      <c r="K58" s="6">
        <v>1</v>
      </c>
      <c r="L58" s="7">
        <v>1</v>
      </c>
      <c r="M58" s="7">
        <v>1</v>
      </c>
      <c r="N58" s="7" t="s">
        <v>6</v>
      </c>
      <c r="O58" s="7">
        <v>21</v>
      </c>
      <c r="P58" s="7">
        <v>27</v>
      </c>
      <c r="Q58" s="7">
        <v>3500</v>
      </c>
      <c r="R58" s="7">
        <v>175000</v>
      </c>
      <c r="S58" s="5">
        <f t="shared" si="0"/>
        <v>12.072541252905651</v>
      </c>
      <c r="T58" s="5" t="str">
        <f t="shared" si="1"/>
        <v>G</v>
      </c>
      <c r="U58" s="5">
        <f t="shared" si="2"/>
        <v>1</v>
      </c>
    </row>
    <row r="59" spans="1:21" x14ac:dyDescent="0.3">
      <c r="A59" s="6">
        <v>1</v>
      </c>
      <c r="B59" s="6">
        <v>0</v>
      </c>
      <c r="C59" s="6">
        <v>1</v>
      </c>
      <c r="D59" s="6">
        <v>0</v>
      </c>
      <c r="E59" s="6">
        <v>1</v>
      </c>
      <c r="F59" s="6">
        <v>1</v>
      </c>
      <c r="G59" s="6">
        <v>0</v>
      </c>
      <c r="H59" s="6">
        <v>1</v>
      </c>
      <c r="I59" s="6">
        <v>1</v>
      </c>
      <c r="J59" s="6">
        <v>1</v>
      </c>
      <c r="K59" s="6">
        <v>1</v>
      </c>
      <c r="L59" s="7">
        <v>1</v>
      </c>
      <c r="M59" s="7">
        <v>1</v>
      </c>
      <c r="N59" s="7" t="s">
        <v>11</v>
      </c>
      <c r="O59" s="7">
        <v>16</v>
      </c>
      <c r="P59" s="7">
        <v>15</v>
      </c>
      <c r="Q59" s="7">
        <v>4600</v>
      </c>
      <c r="R59" s="7">
        <v>295000</v>
      </c>
      <c r="S59" s="5">
        <f t="shared" si="0"/>
        <v>12.594730635321957</v>
      </c>
      <c r="T59" s="5" t="str">
        <f t="shared" si="1"/>
        <v>A</v>
      </c>
      <c r="U59" s="5">
        <f t="shared" si="2"/>
        <v>7</v>
      </c>
    </row>
    <row r="60" spans="1:21" x14ac:dyDescent="0.3">
      <c r="A60" s="6">
        <v>1</v>
      </c>
      <c r="B60" s="6">
        <v>0</v>
      </c>
      <c r="C60" s="6">
        <v>0</v>
      </c>
      <c r="D60" s="6">
        <v>1</v>
      </c>
      <c r="E60" s="6">
        <v>1</v>
      </c>
      <c r="F60" s="6">
        <v>1</v>
      </c>
      <c r="G60" s="6">
        <v>1</v>
      </c>
      <c r="H60" s="6">
        <v>1</v>
      </c>
      <c r="I60" s="6">
        <v>1</v>
      </c>
      <c r="J60" s="6">
        <v>1</v>
      </c>
      <c r="K60" s="6">
        <v>1</v>
      </c>
      <c r="L60" s="7">
        <v>1</v>
      </c>
      <c r="M60" s="7">
        <v>3</v>
      </c>
      <c r="N60" s="7" t="s">
        <v>6</v>
      </c>
      <c r="O60" s="7">
        <v>12</v>
      </c>
      <c r="P60" s="7">
        <v>24</v>
      </c>
      <c r="Q60" s="7">
        <v>7500</v>
      </c>
      <c r="R60" s="7">
        <v>1130000</v>
      </c>
      <c r="S60" s="5">
        <f t="shared" si="0"/>
        <v>13.937728190688523</v>
      </c>
      <c r="T60" s="5" t="str">
        <f t="shared" si="1"/>
        <v>G</v>
      </c>
      <c r="U60" s="5">
        <f t="shared" si="2"/>
        <v>1</v>
      </c>
    </row>
    <row r="61" spans="1:21" x14ac:dyDescent="0.3">
      <c r="A61" s="6">
        <v>1</v>
      </c>
      <c r="B61" s="6">
        <v>0</v>
      </c>
      <c r="C61" s="6">
        <v>0</v>
      </c>
      <c r="D61" s="6">
        <v>1</v>
      </c>
      <c r="E61" s="6">
        <v>1</v>
      </c>
      <c r="F61" s="6">
        <v>1</v>
      </c>
      <c r="G61" s="6">
        <v>0</v>
      </c>
      <c r="H61" s="6">
        <v>1</v>
      </c>
      <c r="I61" s="6">
        <v>1</v>
      </c>
      <c r="J61" s="6">
        <v>1</v>
      </c>
      <c r="K61" s="6">
        <v>1</v>
      </c>
      <c r="L61" s="7">
        <v>2</v>
      </c>
      <c r="M61" s="7">
        <v>3</v>
      </c>
      <c r="N61" s="7" t="s">
        <v>6</v>
      </c>
      <c r="O61" s="7">
        <v>11</v>
      </c>
      <c r="P61" s="7">
        <v>23</v>
      </c>
      <c r="Q61" s="7">
        <v>7150</v>
      </c>
      <c r="R61" s="7">
        <v>930000</v>
      </c>
      <c r="S61" s="5">
        <f t="shared" si="0"/>
        <v>13.742939865129438</v>
      </c>
      <c r="T61" s="5" t="str">
        <f t="shared" si="1"/>
        <v>G</v>
      </c>
      <c r="U61" s="5">
        <f t="shared" si="2"/>
        <v>1</v>
      </c>
    </row>
    <row r="62" spans="1:21" x14ac:dyDescent="0.3">
      <c r="A62" s="6">
        <v>1</v>
      </c>
      <c r="B62" s="6">
        <v>0</v>
      </c>
      <c r="C62" s="6">
        <v>0</v>
      </c>
      <c r="D62" s="6">
        <v>1</v>
      </c>
      <c r="E62" s="6">
        <v>1</v>
      </c>
      <c r="F62" s="6">
        <v>1</v>
      </c>
      <c r="G62" s="6">
        <v>0</v>
      </c>
      <c r="H62" s="6">
        <v>1</v>
      </c>
      <c r="I62" s="6">
        <v>1</v>
      </c>
      <c r="J62" s="6">
        <v>1</v>
      </c>
      <c r="K62" s="6">
        <v>1</v>
      </c>
      <c r="L62" s="7">
        <v>2</v>
      </c>
      <c r="M62" s="7">
        <v>4</v>
      </c>
      <c r="N62" s="7" t="s">
        <v>6</v>
      </c>
      <c r="O62" s="7">
        <v>11</v>
      </c>
      <c r="P62" s="7">
        <v>23</v>
      </c>
      <c r="Q62" s="7">
        <v>6500</v>
      </c>
      <c r="R62" s="7">
        <v>1100000</v>
      </c>
      <c r="S62" s="5">
        <f t="shared" si="0"/>
        <v>13.910820737768599</v>
      </c>
      <c r="T62" s="5" t="str">
        <f t="shared" si="1"/>
        <v>G</v>
      </c>
      <c r="U62" s="5">
        <f t="shared" si="2"/>
        <v>1</v>
      </c>
    </row>
    <row r="63" spans="1:21" x14ac:dyDescent="0.3">
      <c r="A63" s="6">
        <v>1</v>
      </c>
      <c r="B63" s="6">
        <v>0</v>
      </c>
      <c r="C63" s="6">
        <v>0</v>
      </c>
      <c r="D63" s="6">
        <v>1</v>
      </c>
      <c r="E63" s="6">
        <v>1</v>
      </c>
      <c r="F63" s="6">
        <v>1</v>
      </c>
      <c r="G63" s="6">
        <v>0</v>
      </c>
      <c r="H63" s="6">
        <v>1</v>
      </c>
      <c r="I63" s="6">
        <v>1</v>
      </c>
      <c r="J63" s="6">
        <v>1</v>
      </c>
      <c r="K63" s="6">
        <v>1</v>
      </c>
      <c r="L63" s="7">
        <v>2</v>
      </c>
      <c r="M63" s="7">
        <v>2</v>
      </c>
      <c r="N63" s="7" t="s">
        <v>8</v>
      </c>
      <c r="O63" s="7">
        <v>10</v>
      </c>
      <c r="P63" s="7">
        <v>26</v>
      </c>
      <c r="Q63" s="7">
        <v>8000</v>
      </c>
      <c r="R63" s="7">
        <v>855000</v>
      </c>
      <c r="S63" s="5">
        <f t="shared" si="0"/>
        <v>13.658856747918897</v>
      </c>
      <c r="T63" s="5" t="str">
        <f t="shared" si="1"/>
        <v>D</v>
      </c>
      <c r="U63" s="5">
        <f t="shared" si="2"/>
        <v>4</v>
      </c>
    </row>
    <row r="64" spans="1:21" x14ac:dyDescent="0.3">
      <c r="A64" s="6">
        <v>1</v>
      </c>
      <c r="B64" s="6">
        <v>0</v>
      </c>
      <c r="C64" s="6">
        <v>0</v>
      </c>
      <c r="D64" s="6">
        <v>1</v>
      </c>
      <c r="E64" s="6">
        <v>1</v>
      </c>
      <c r="F64" s="6">
        <v>1</v>
      </c>
      <c r="G64" s="6">
        <v>0</v>
      </c>
      <c r="H64" s="6">
        <v>1</v>
      </c>
      <c r="I64" s="6">
        <v>1</v>
      </c>
      <c r="J64" s="6">
        <v>1</v>
      </c>
      <c r="K64" s="6">
        <v>1</v>
      </c>
      <c r="L64" s="7">
        <v>2</v>
      </c>
      <c r="M64" s="7">
        <v>3</v>
      </c>
      <c r="N64" s="7" t="s">
        <v>12</v>
      </c>
      <c r="O64" s="7">
        <v>14</v>
      </c>
      <c r="P64" s="7">
        <v>25</v>
      </c>
      <c r="Q64" s="7">
        <v>5429</v>
      </c>
      <c r="R64" s="7">
        <v>950000</v>
      </c>
      <c r="S64" s="5">
        <f t="shared" si="0"/>
        <v>13.764217263576723</v>
      </c>
      <c r="T64" s="5" t="str">
        <f t="shared" si="1"/>
        <v>E</v>
      </c>
      <c r="U64" s="5">
        <f t="shared" si="2"/>
        <v>3</v>
      </c>
    </row>
    <row r="65" spans="1:21" x14ac:dyDescent="0.3">
      <c r="A65" s="6">
        <v>1</v>
      </c>
      <c r="B65" s="6">
        <v>0</v>
      </c>
      <c r="C65" s="6">
        <v>1</v>
      </c>
      <c r="D65" s="6">
        <v>0</v>
      </c>
      <c r="E65" s="6">
        <v>1</v>
      </c>
      <c r="F65" s="6">
        <v>1</v>
      </c>
      <c r="G65" s="6">
        <v>1</v>
      </c>
      <c r="H65" s="6">
        <v>1</v>
      </c>
      <c r="I65" s="6">
        <v>1</v>
      </c>
      <c r="J65" s="6">
        <v>1</v>
      </c>
      <c r="K65" s="6">
        <v>1</v>
      </c>
      <c r="L65" s="7">
        <v>1</v>
      </c>
      <c r="M65" s="7">
        <v>2</v>
      </c>
      <c r="N65" s="7" t="s">
        <v>6</v>
      </c>
      <c r="O65" s="7">
        <v>7</v>
      </c>
      <c r="P65" s="7">
        <v>17</v>
      </c>
      <c r="Q65" s="7">
        <v>9300</v>
      </c>
      <c r="R65" s="7">
        <v>570000</v>
      </c>
      <c r="S65" s="5">
        <f t="shared" si="0"/>
        <v>13.253391639810733</v>
      </c>
      <c r="T65" s="5" t="str">
        <f t="shared" si="1"/>
        <v>G</v>
      </c>
      <c r="U65" s="5">
        <f t="shared" si="2"/>
        <v>1</v>
      </c>
    </row>
    <row r="66" spans="1:21" x14ac:dyDescent="0.3">
      <c r="A66" s="6">
        <v>1</v>
      </c>
      <c r="B66" s="6">
        <v>0</v>
      </c>
      <c r="C66" s="6">
        <v>1</v>
      </c>
      <c r="D66" s="6">
        <v>0</v>
      </c>
      <c r="E66" s="6">
        <v>1</v>
      </c>
      <c r="F66" s="6">
        <v>1</v>
      </c>
      <c r="G66" s="6">
        <v>1</v>
      </c>
      <c r="H66" s="6">
        <v>1</v>
      </c>
      <c r="I66" s="6">
        <v>1</v>
      </c>
      <c r="J66" s="6">
        <v>1</v>
      </c>
      <c r="K66" s="6">
        <v>1</v>
      </c>
      <c r="L66" s="7">
        <v>1</v>
      </c>
      <c r="M66" s="7">
        <v>1</v>
      </c>
      <c r="N66" s="7" t="s">
        <v>6</v>
      </c>
      <c r="O66" s="7">
        <v>10</v>
      </c>
      <c r="P66" s="7">
        <v>18</v>
      </c>
      <c r="Q66" s="7">
        <v>6000</v>
      </c>
      <c r="R66" s="7">
        <v>300000</v>
      </c>
      <c r="S66" s="5">
        <f t="shared" si="0"/>
        <v>12.611537753638338</v>
      </c>
      <c r="T66" s="5" t="str">
        <f t="shared" si="1"/>
        <v>G</v>
      </c>
      <c r="U66" s="5">
        <f t="shared" si="2"/>
        <v>1</v>
      </c>
    </row>
    <row r="67" spans="1:21" x14ac:dyDescent="0.3">
      <c r="A67" s="6">
        <v>1</v>
      </c>
      <c r="B67" s="6">
        <v>0</v>
      </c>
      <c r="C67" s="6">
        <v>0</v>
      </c>
      <c r="D67" s="6">
        <v>1</v>
      </c>
      <c r="E67" s="6">
        <v>1</v>
      </c>
      <c r="F67" s="6">
        <v>1</v>
      </c>
      <c r="G67" s="6">
        <v>1</v>
      </c>
      <c r="H67" s="6">
        <v>1</v>
      </c>
      <c r="I67" s="6">
        <v>1</v>
      </c>
      <c r="J67" s="6">
        <v>1</v>
      </c>
      <c r="K67" s="6">
        <v>1</v>
      </c>
      <c r="L67" s="7">
        <v>2</v>
      </c>
      <c r="M67" s="7">
        <v>2</v>
      </c>
      <c r="N67" s="7" t="s">
        <v>13</v>
      </c>
      <c r="O67" s="7">
        <v>8</v>
      </c>
      <c r="P67" s="7">
        <v>21</v>
      </c>
      <c r="Q67" s="7">
        <v>4150</v>
      </c>
      <c r="R67" s="7">
        <v>540000</v>
      </c>
      <c r="S67" s="5">
        <f t="shared" ref="S67:S98" si="3">LN(R67)</f>
        <v>13.199324418540456</v>
      </c>
      <c r="T67" s="5" t="str">
        <f t="shared" ref="T67:T130" si="4">TRIM(N67)</f>
        <v>F</v>
      </c>
      <c r="U67" s="5">
        <f t="shared" ref="U67:U130" si="5">IF(T67="A",7,
 IF(T67="B",6,
 IF(T67="C",5,
 IF(T67="D",4,
 IF(T67="E",3,
 IF(T67="F",2,
 IF(T67="G",1,"")))))))</f>
        <v>2</v>
      </c>
    </row>
    <row r="68" spans="1:21" x14ac:dyDescent="0.3">
      <c r="A68" s="6">
        <v>1</v>
      </c>
      <c r="B68" s="6">
        <v>0</v>
      </c>
      <c r="C68" s="6">
        <v>0</v>
      </c>
      <c r="D68" s="6">
        <v>1</v>
      </c>
      <c r="E68" s="6">
        <v>1</v>
      </c>
      <c r="F68" s="6">
        <v>1</v>
      </c>
      <c r="G68" s="6">
        <v>1</v>
      </c>
      <c r="H68" s="6">
        <v>1</v>
      </c>
      <c r="I68" s="6">
        <v>1</v>
      </c>
      <c r="J68" s="6">
        <v>1</v>
      </c>
      <c r="K68" s="6">
        <v>1</v>
      </c>
      <c r="L68" s="7">
        <v>2</v>
      </c>
      <c r="M68" s="7">
        <v>2</v>
      </c>
      <c r="N68" s="7"/>
      <c r="O68" s="7">
        <v>10</v>
      </c>
      <c r="P68" s="7">
        <v>17</v>
      </c>
      <c r="Q68" s="7">
        <v>5000</v>
      </c>
      <c r="R68" s="7">
        <v>670000</v>
      </c>
      <c r="S68" s="5">
        <f t="shared" si="3"/>
        <v>13.415032991367148</v>
      </c>
      <c r="T68" s="5" t="str">
        <f t="shared" si="4"/>
        <v/>
      </c>
      <c r="U68" s="5" t="str">
        <f t="shared" si="5"/>
        <v/>
      </c>
    </row>
    <row r="69" spans="1:21" x14ac:dyDescent="0.3">
      <c r="A69" s="6">
        <v>1</v>
      </c>
      <c r="B69" s="6">
        <v>0</v>
      </c>
      <c r="C69" s="6">
        <v>0</v>
      </c>
      <c r="D69" s="6">
        <v>1</v>
      </c>
      <c r="E69" s="6">
        <v>1</v>
      </c>
      <c r="F69" s="6">
        <v>1</v>
      </c>
      <c r="G69" s="6">
        <v>1</v>
      </c>
      <c r="H69" s="6">
        <v>1</v>
      </c>
      <c r="I69" s="6">
        <v>1</v>
      </c>
      <c r="J69" s="6">
        <v>1</v>
      </c>
      <c r="K69" s="6">
        <v>1</v>
      </c>
      <c r="L69" s="7">
        <v>2</v>
      </c>
      <c r="M69" s="7">
        <v>2</v>
      </c>
      <c r="N69" s="7" t="s">
        <v>11</v>
      </c>
      <c r="O69" s="7">
        <v>8</v>
      </c>
      <c r="P69" s="7">
        <v>16</v>
      </c>
      <c r="Q69" s="7">
        <v>5900</v>
      </c>
      <c r="R69" s="7">
        <v>649000</v>
      </c>
      <c r="S69" s="5">
        <f t="shared" si="3"/>
        <v>13.383187995686226</v>
      </c>
      <c r="T69" s="5" t="str">
        <f t="shared" si="4"/>
        <v>A</v>
      </c>
      <c r="U69" s="5">
        <f t="shared" si="5"/>
        <v>7</v>
      </c>
    </row>
    <row r="70" spans="1:21" x14ac:dyDescent="0.3">
      <c r="A70" s="6">
        <v>1</v>
      </c>
      <c r="B70" s="6">
        <v>1</v>
      </c>
      <c r="C70" s="6">
        <v>0</v>
      </c>
      <c r="D70" s="6">
        <v>1</v>
      </c>
      <c r="E70" s="6">
        <v>1</v>
      </c>
      <c r="F70" s="6">
        <v>1</v>
      </c>
      <c r="G70" s="6">
        <v>1</v>
      </c>
      <c r="H70" s="6">
        <v>1</v>
      </c>
      <c r="I70" s="6">
        <v>1</v>
      </c>
      <c r="J70" s="6">
        <v>1</v>
      </c>
      <c r="K70" s="6">
        <v>1</v>
      </c>
      <c r="L70" s="7">
        <v>3</v>
      </c>
      <c r="M70" s="7">
        <v>3</v>
      </c>
      <c r="N70" s="7" t="s">
        <v>6</v>
      </c>
      <c r="O70" s="7">
        <v>10</v>
      </c>
      <c r="P70" s="7">
        <v>17</v>
      </c>
      <c r="Q70" s="7">
        <v>4600</v>
      </c>
      <c r="R70" s="7">
        <v>895000</v>
      </c>
      <c r="S70" s="5">
        <f t="shared" si="3"/>
        <v>13.704578997256993</v>
      </c>
      <c r="T70" s="5" t="str">
        <f t="shared" si="4"/>
        <v>G</v>
      </c>
      <c r="U70" s="5">
        <f t="shared" si="5"/>
        <v>1</v>
      </c>
    </row>
    <row r="71" spans="1:21" x14ac:dyDescent="0.3">
      <c r="A71" s="6">
        <v>1</v>
      </c>
      <c r="B71" s="6">
        <v>0</v>
      </c>
      <c r="C71" s="6">
        <v>0</v>
      </c>
      <c r="D71" s="6">
        <v>1</v>
      </c>
      <c r="E71" s="6">
        <v>1</v>
      </c>
      <c r="F71" s="6">
        <v>1</v>
      </c>
      <c r="G71" s="6">
        <v>1</v>
      </c>
      <c r="H71" s="6">
        <v>1</v>
      </c>
      <c r="I71" s="6">
        <v>1</v>
      </c>
      <c r="J71" s="6">
        <v>1</v>
      </c>
      <c r="K71" s="6">
        <v>1</v>
      </c>
      <c r="L71" s="7">
        <v>2</v>
      </c>
      <c r="M71" s="7">
        <v>4</v>
      </c>
      <c r="N71" s="7" t="s">
        <v>12</v>
      </c>
      <c r="O71" s="7">
        <v>9</v>
      </c>
      <c r="P71" s="7">
        <v>18</v>
      </c>
      <c r="Q71" s="7">
        <v>4700</v>
      </c>
      <c r="R71" s="7">
        <v>700000</v>
      </c>
      <c r="S71" s="5">
        <f t="shared" si="3"/>
        <v>13.458835614025542</v>
      </c>
      <c r="T71" s="5" t="str">
        <f t="shared" si="4"/>
        <v>E</v>
      </c>
      <c r="U71" s="5">
        <f t="shared" si="5"/>
        <v>3</v>
      </c>
    </row>
    <row r="72" spans="1:21" x14ac:dyDescent="0.3">
      <c r="A72" s="6">
        <v>1</v>
      </c>
      <c r="B72" s="6">
        <v>0</v>
      </c>
      <c r="C72" s="6">
        <v>1</v>
      </c>
      <c r="D72" s="6">
        <v>1</v>
      </c>
      <c r="E72" s="6">
        <v>1</v>
      </c>
      <c r="F72" s="6">
        <v>1</v>
      </c>
      <c r="G72" s="6">
        <v>1</v>
      </c>
      <c r="H72" s="6">
        <v>1</v>
      </c>
      <c r="I72" s="6">
        <v>1</v>
      </c>
      <c r="J72" s="6">
        <v>1</v>
      </c>
      <c r="K72" s="6">
        <v>1</v>
      </c>
      <c r="L72" s="7">
        <v>1</v>
      </c>
      <c r="M72" s="7">
        <v>2</v>
      </c>
      <c r="N72" s="7" t="s">
        <v>10</v>
      </c>
      <c r="O72" s="7">
        <v>16</v>
      </c>
      <c r="P72" s="7">
        <v>30</v>
      </c>
      <c r="Q72" s="7">
        <v>6250</v>
      </c>
      <c r="R72" s="7">
        <v>500000</v>
      </c>
      <c r="S72" s="5">
        <f t="shared" si="3"/>
        <v>13.122363377404328</v>
      </c>
      <c r="T72" s="5" t="str">
        <f t="shared" si="4"/>
        <v>B</v>
      </c>
      <c r="U72" s="5">
        <f t="shared" si="5"/>
        <v>6</v>
      </c>
    </row>
    <row r="73" spans="1:21" x14ac:dyDescent="0.3">
      <c r="A73" s="6">
        <v>1</v>
      </c>
      <c r="B73" s="6">
        <v>0</v>
      </c>
      <c r="C73" s="6">
        <v>1</v>
      </c>
      <c r="D73" s="6">
        <v>1</v>
      </c>
      <c r="E73" s="6">
        <v>1</v>
      </c>
      <c r="F73" s="6">
        <v>1</v>
      </c>
      <c r="G73" s="6">
        <v>1</v>
      </c>
      <c r="H73" s="6">
        <v>1</v>
      </c>
      <c r="I73" s="6">
        <v>1</v>
      </c>
      <c r="J73" s="6">
        <v>1</v>
      </c>
      <c r="K73" s="6">
        <v>1</v>
      </c>
      <c r="L73" s="7">
        <v>1</v>
      </c>
      <c r="M73" s="7">
        <v>1</v>
      </c>
      <c r="N73" s="7" t="s">
        <v>138</v>
      </c>
      <c r="O73" s="7">
        <v>14</v>
      </c>
      <c r="P73" s="7">
        <v>30</v>
      </c>
      <c r="Q73" s="7">
        <v>6600</v>
      </c>
      <c r="R73" s="7">
        <v>445000</v>
      </c>
      <c r="S73" s="5">
        <f t="shared" si="3"/>
        <v>13.005829561148378</v>
      </c>
      <c r="T73" s="5" t="str">
        <f t="shared" si="4"/>
        <v>C</v>
      </c>
      <c r="U73" s="5">
        <f t="shared" si="5"/>
        <v>5</v>
      </c>
    </row>
    <row r="74" spans="1:21" x14ac:dyDescent="0.3">
      <c r="A74" s="6">
        <v>1</v>
      </c>
      <c r="B74" s="6">
        <v>0</v>
      </c>
      <c r="C74" s="6">
        <v>1</v>
      </c>
      <c r="D74" s="6">
        <v>1</v>
      </c>
      <c r="E74" s="6">
        <v>1</v>
      </c>
      <c r="F74" s="6">
        <v>1</v>
      </c>
      <c r="G74" s="6">
        <v>1</v>
      </c>
      <c r="H74" s="6">
        <v>1</v>
      </c>
      <c r="I74" s="6">
        <v>1</v>
      </c>
      <c r="J74" s="6">
        <v>1</v>
      </c>
      <c r="K74" s="6">
        <v>1</v>
      </c>
      <c r="L74" s="7">
        <v>1</v>
      </c>
      <c r="M74" s="7">
        <v>1</v>
      </c>
      <c r="N74" s="7" t="s">
        <v>10</v>
      </c>
      <c r="O74" s="7">
        <v>17</v>
      </c>
      <c r="P74" s="7">
        <v>29</v>
      </c>
      <c r="Q74" s="7">
        <v>6500</v>
      </c>
      <c r="R74" s="7">
        <v>480000</v>
      </c>
      <c r="S74" s="5">
        <f t="shared" si="3"/>
        <v>13.081541382884074</v>
      </c>
      <c r="T74" s="5" t="str">
        <f t="shared" si="4"/>
        <v>B</v>
      </c>
      <c r="U74" s="5">
        <f t="shared" si="5"/>
        <v>6</v>
      </c>
    </row>
    <row r="75" spans="1:21" x14ac:dyDescent="0.3">
      <c r="A75" s="6">
        <v>1</v>
      </c>
      <c r="B75" s="6">
        <v>0</v>
      </c>
      <c r="C75" s="6">
        <v>1</v>
      </c>
      <c r="D75" s="6">
        <v>1</v>
      </c>
      <c r="E75" s="6">
        <v>1</v>
      </c>
      <c r="F75" s="6">
        <v>1</v>
      </c>
      <c r="G75" s="6">
        <v>1</v>
      </c>
      <c r="H75" s="6">
        <v>1</v>
      </c>
      <c r="I75" s="6">
        <v>1</v>
      </c>
      <c r="J75" s="6">
        <v>1</v>
      </c>
      <c r="K75" s="6">
        <v>1</v>
      </c>
      <c r="L75" s="7">
        <v>1</v>
      </c>
      <c r="M75" s="7">
        <v>1</v>
      </c>
      <c r="N75" s="7" t="s">
        <v>138</v>
      </c>
      <c r="O75" s="7">
        <v>13</v>
      </c>
      <c r="P75" s="7">
        <v>29</v>
      </c>
      <c r="Q75" s="7">
        <v>6400</v>
      </c>
      <c r="R75" s="7">
        <v>447000</v>
      </c>
      <c r="S75" s="5">
        <f t="shared" si="3"/>
        <v>13.010313873595706</v>
      </c>
      <c r="T75" s="5" t="str">
        <f t="shared" si="4"/>
        <v>C</v>
      </c>
      <c r="U75" s="5">
        <f t="shared" si="5"/>
        <v>5</v>
      </c>
    </row>
    <row r="76" spans="1:21" x14ac:dyDescent="0.3">
      <c r="A76" s="6">
        <v>1</v>
      </c>
      <c r="B76" s="6">
        <v>0</v>
      </c>
      <c r="C76" s="6">
        <v>0</v>
      </c>
      <c r="D76" s="6">
        <v>1</v>
      </c>
      <c r="E76" s="6">
        <v>1</v>
      </c>
      <c r="F76" s="6">
        <v>1</v>
      </c>
      <c r="G76" s="6">
        <v>0</v>
      </c>
      <c r="H76" s="6">
        <v>1</v>
      </c>
      <c r="I76" s="6">
        <v>0</v>
      </c>
      <c r="J76" s="6">
        <v>0</v>
      </c>
      <c r="K76" s="6">
        <v>1</v>
      </c>
      <c r="L76" s="7">
        <v>1</v>
      </c>
      <c r="M76" s="7">
        <v>3</v>
      </c>
      <c r="N76" s="7" t="s">
        <v>6</v>
      </c>
      <c r="O76" s="7">
        <v>10</v>
      </c>
      <c r="P76" s="7">
        <v>18</v>
      </c>
      <c r="Q76" s="8">
        <f>R76/108</f>
        <v>3148.1481481481483</v>
      </c>
      <c r="R76" s="8">
        <v>340000</v>
      </c>
      <c r="S76" s="5">
        <f t="shared" si="3"/>
        <v>12.736700896592344</v>
      </c>
      <c r="T76" s="5" t="str">
        <f t="shared" si="4"/>
        <v>G</v>
      </c>
      <c r="U76" s="5">
        <f t="shared" si="5"/>
        <v>1</v>
      </c>
    </row>
    <row r="77" spans="1:21" x14ac:dyDescent="0.3">
      <c r="A77" s="6">
        <v>1</v>
      </c>
      <c r="B77" s="6">
        <v>0</v>
      </c>
      <c r="C77" s="6">
        <v>0</v>
      </c>
      <c r="D77" s="6">
        <v>1</v>
      </c>
      <c r="E77" s="6">
        <v>1</v>
      </c>
      <c r="F77" s="6">
        <v>1</v>
      </c>
      <c r="G77" s="6">
        <v>0</v>
      </c>
      <c r="H77" s="6">
        <v>0</v>
      </c>
      <c r="I77" s="6">
        <v>0</v>
      </c>
      <c r="J77" s="6">
        <v>0</v>
      </c>
      <c r="K77" s="6">
        <v>1</v>
      </c>
      <c r="L77" s="7">
        <v>2</v>
      </c>
      <c r="M77" s="7">
        <v>2</v>
      </c>
      <c r="N77" s="7" t="s">
        <v>6</v>
      </c>
      <c r="O77" s="7">
        <v>19</v>
      </c>
      <c r="P77" s="7">
        <v>37</v>
      </c>
      <c r="Q77" s="8">
        <f>R77/100</f>
        <v>3490</v>
      </c>
      <c r="R77" s="8">
        <v>349000</v>
      </c>
      <c r="S77" s="5">
        <f t="shared" si="3"/>
        <v>12.762827201184564</v>
      </c>
      <c r="T77" s="5" t="str">
        <f t="shared" si="4"/>
        <v>G</v>
      </c>
      <c r="U77" s="5">
        <f t="shared" si="5"/>
        <v>1</v>
      </c>
    </row>
    <row r="78" spans="1:21" x14ac:dyDescent="0.3">
      <c r="A78" s="6">
        <v>1</v>
      </c>
      <c r="B78" s="6">
        <v>0</v>
      </c>
      <c r="C78" s="6">
        <v>0</v>
      </c>
      <c r="D78" s="6">
        <v>1</v>
      </c>
      <c r="E78" s="6">
        <v>1</v>
      </c>
      <c r="F78" s="6">
        <v>1</v>
      </c>
      <c r="G78" s="6">
        <v>0</v>
      </c>
      <c r="H78" s="6">
        <v>1</v>
      </c>
      <c r="I78" s="6">
        <v>1</v>
      </c>
      <c r="J78" s="6">
        <v>1</v>
      </c>
      <c r="K78" s="6">
        <v>1</v>
      </c>
      <c r="L78" s="7">
        <v>3</v>
      </c>
      <c r="M78" s="7">
        <v>4</v>
      </c>
      <c r="N78" s="7" t="s">
        <v>138</v>
      </c>
      <c r="O78" s="7">
        <v>11</v>
      </c>
      <c r="P78" s="7">
        <v>18</v>
      </c>
      <c r="Q78" s="8">
        <f>R78/212</f>
        <v>5660.3773584905657</v>
      </c>
      <c r="R78" s="8">
        <v>1200000</v>
      </c>
      <c r="S78" s="5">
        <f t="shared" si="3"/>
        <v>13.997832114758229</v>
      </c>
      <c r="T78" s="5" t="str">
        <f t="shared" si="4"/>
        <v>C</v>
      </c>
      <c r="U78" s="5">
        <f t="shared" si="5"/>
        <v>5</v>
      </c>
    </row>
    <row r="79" spans="1:21" x14ac:dyDescent="0.3">
      <c r="A79" s="6">
        <v>1</v>
      </c>
      <c r="B79" s="6">
        <v>0</v>
      </c>
      <c r="C79" s="6">
        <v>1</v>
      </c>
      <c r="D79" s="6">
        <v>1</v>
      </c>
      <c r="E79" s="6">
        <v>1</v>
      </c>
      <c r="F79" s="6">
        <v>1</v>
      </c>
      <c r="G79" s="6">
        <v>0</v>
      </c>
      <c r="H79" s="6">
        <v>1</v>
      </c>
      <c r="I79" s="6">
        <v>1</v>
      </c>
      <c r="J79" s="6">
        <v>0</v>
      </c>
      <c r="K79" s="6">
        <v>1</v>
      </c>
      <c r="L79" s="7">
        <v>1</v>
      </c>
      <c r="M79" s="7">
        <v>1</v>
      </c>
      <c r="N79" s="7" t="s">
        <v>11</v>
      </c>
      <c r="O79" s="7">
        <v>13</v>
      </c>
      <c r="P79" s="7">
        <v>18</v>
      </c>
      <c r="Q79" s="8">
        <f>R79/55</f>
        <v>5309.090909090909</v>
      </c>
      <c r="R79" s="8">
        <v>292000</v>
      </c>
      <c r="S79" s="5">
        <f t="shared" si="3"/>
        <v>12.584509081250419</v>
      </c>
      <c r="T79" s="5" t="str">
        <f t="shared" si="4"/>
        <v>A</v>
      </c>
      <c r="U79" s="5">
        <f t="shared" si="5"/>
        <v>7</v>
      </c>
    </row>
    <row r="80" spans="1:21" x14ac:dyDescent="0.3">
      <c r="A80" s="6">
        <v>1</v>
      </c>
      <c r="B80" s="6">
        <v>0</v>
      </c>
      <c r="C80" s="6">
        <v>1</v>
      </c>
      <c r="D80" s="6">
        <v>1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1</v>
      </c>
      <c r="L80" s="7">
        <v>1</v>
      </c>
      <c r="M80" s="7">
        <v>1</v>
      </c>
      <c r="N80" s="7" t="s">
        <v>6</v>
      </c>
      <c r="O80" s="7">
        <v>13</v>
      </c>
      <c r="P80" s="7">
        <v>38</v>
      </c>
      <c r="Q80" s="8">
        <f>R80/48</f>
        <v>3541.6666666666665</v>
      </c>
      <c r="R80" s="8">
        <v>170000</v>
      </c>
      <c r="S80" s="5">
        <f t="shared" si="3"/>
        <v>12.043553716032399</v>
      </c>
      <c r="T80" s="5" t="str">
        <f t="shared" si="4"/>
        <v>G</v>
      </c>
      <c r="U80" s="5">
        <f t="shared" si="5"/>
        <v>1</v>
      </c>
    </row>
    <row r="81" spans="1:21" x14ac:dyDescent="0.3">
      <c r="A81" s="6">
        <v>1</v>
      </c>
      <c r="B81" s="6">
        <v>0</v>
      </c>
      <c r="C81" s="6">
        <v>1</v>
      </c>
      <c r="D81" s="6">
        <v>1</v>
      </c>
      <c r="E81" s="6">
        <v>1</v>
      </c>
      <c r="F81" s="6">
        <v>1</v>
      </c>
      <c r="G81" s="6">
        <v>0</v>
      </c>
      <c r="H81" s="6">
        <v>1</v>
      </c>
      <c r="I81" s="6">
        <v>1</v>
      </c>
      <c r="J81" s="6">
        <v>0</v>
      </c>
      <c r="K81" s="6">
        <v>1</v>
      </c>
      <c r="L81" s="7">
        <v>1</v>
      </c>
      <c r="M81" s="7">
        <v>2</v>
      </c>
      <c r="N81" s="7" t="s">
        <v>10</v>
      </c>
      <c r="O81" s="7">
        <v>10</v>
      </c>
      <c r="P81" s="7">
        <v>32</v>
      </c>
      <c r="Q81" s="8">
        <f>R81/77</f>
        <v>4662.3376623376626</v>
      </c>
      <c r="R81" s="8">
        <v>359000</v>
      </c>
      <c r="S81" s="5">
        <f t="shared" si="3"/>
        <v>12.791077667470416</v>
      </c>
      <c r="T81" s="5" t="str">
        <f t="shared" si="4"/>
        <v>B</v>
      </c>
      <c r="U81" s="5">
        <f t="shared" si="5"/>
        <v>6</v>
      </c>
    </row>
    <row r="82" spans="1:21" x14ac:dyDescent="0.3">
      <c r="A82" s="6">
        <v>1</v>
      </c>
      <c r="B82" s="6">
        <v>0</v>
      </c>
      <c r="C82" s="6">
        <v>1</v>
      </c>
      <c r="D82" s="6">
        <v>1</v>
      </c>
      <c r="E82" s="6">
        <v>1</v>
      </c>
      <c r="F82" s="6">
        <v>1</v>
      </c>
      <c r="G82" s="6">
        <v>0</v>
      </c>
      <c r="H82" s="6">
        <v>1</v>
      </c>
      <c r="I82" s="6">
        <v>1</v>
      </c>
      <c r="J82" s="6">
        <v>0</v>
      </c>
      <c r="K82" s="6">
        <v>1</v>
      </c>
      <c r="L82" s="7">
        <v>1</v>
      </c>
      <c r="M82" s="7">
        <v>2</v>
      </c>
      <c r="N82" s="7" t="s">
        <v>10</v>
      </c>
      <c r="O82" s="7">
        <v>15</v>
      </c>
      <c r="P82" s="7">
        <v>30</v>
      </c>
      <c r="Q82" s="8">
        <f>R82/75</f>
        <v>3186.6666666666665</v>
      </c>
      <c r="R82" s="8">
        <v>239000</v>
      </c>
      <c r="S82" s="5">
        <f t="shared" si="3"/>
        <v>12.384218830913648</v>
      </c>
      <c r="T82" s="5" t="str">
        <f t="shared" si="4"/>
        <v>B</v>
      </c>
      <c r="U82" s="5">
        <f t="shared" si="5"/>
        <v>6</v>
      </c>
    </row>
    <row r="83" spans="1:21" x14ac:dyDescent="0.3">
      <c r="A83" s="6">
        <v>1</v>
      </c>
      <c r="B83" s="6">
        <v>0</v>
      </c>
      <c r="C83" s="6">
        <v>1</v>
      </c>
      <c r="D83" s="6">
        <v>1</v>
      </c>
      <c r="E83" s="6">
        <v>1</v>
      </c>
      <c r="F83" s="6">
        <v>1</v>
      </c>
      <c r="G83" s="6">
        <v>1</v>
      </c>
      <c r="H83" s="6">
        <v>1</v>
      </c>
      <c r="I83" s="6">
        <v>1</v>
      </c>
      <c r="J83" s="6">
        <v>1</v>
      </c>
      <c r="K83" s="6">
        <v>1</v>
      </c>
      <c r="L83" s="7">
        <v>1</v>
      </c>
      <c r="M83" s="7">
        <v>1</v>
      </c>
      <c r="N83" s="7" t="s">
        <v>10</v>
      </c>
      <c r="O83" s="7">
        <v>16</v>
      </c>
      <c r="P83" s="7">
        <v>29</v>
      </c>
      <c r="Q83" s="8">
        <f>R83/66</f>
        <v>5136.363636363636</v>
      </c>
      <c r="R83" s="8">
        <v>339000</v>
      </c>
      <c r="S83" s="5">
        <f t="shared" si="3"/>
        <v>12.733755386362587</v>
      </c>
      <c r="T83" s="5" t="str">
        <f t="shared" si="4"/>
        <v>B</v>
      </c>
      <c r="U83" s="5">
        <f t="shared" si="5"/>
        <v>6</v>
      </c>
    </row>
    <row r="84" spans="1:21" x14ac:dyDescent="0.3">
      <c r="A84" s="6">
        <v>1</v>
      </c>
      <c r="B84" s="6">
        <v>0</v>
      </c>
      <c r="C84" s="6">
        <v>1</v>
      </c>
      <c r="D84" s="6">
        <v>1</v>
      </c>
      <c r="E84" s="6">
        <v>1</v>
      </c>
      <c r="F84" s="6">
        <v>0</v>
      </c>
      <c r="G84" s="6">
        <v>0</v>
      </c>
      <c r="H84" s="6">
        <v>1</v>
      </c>
      <c r="I84" s="6">
        <v>1</v>
      </c>
      <c r="J84" s="6">
        <v>1</v>
      </c>
      <c r="K84" s="6">
        <v>1</v>
      </c>
      <c r="L84" s="7">
        <v>1</v>
      </c>
      <c r="M84" s="7">
        <v>1</v>
      </c>
      <c r="N84" s="7" t="s">
        <v>13</v>
      </c>
      <c r="O84" s="7">
        <v>11</v>
      </c>
      <c r="P84" s="7">
        <v>24</v>
      </c>
      <c r="Q84" s="8">
        <f>R84/45</f>
        <v>4400</v>
      </c>
      <c r="R84" s="8">
        <v>198000</v>
      </c>
      <c r="S84" s="5">
        <f t="shared" si="3"/>
        <v>12.196022309676673</v>
      </c>
      <c r="T84" s="5" t="str">
        <f t="shared" si="4"/>
        <v>F</v>
      </c>
      <c r="U84" s="5">
        <f t="shared" si="5"/>
        <v>2</v>
      </c>
    </row>
    <row r="85" spans="1:21" x14ac:dyDescent="0.3">
      <c r="A85" s="6">
        <v>1</v>
      </c>
      <c r="B85" s="6">
        <v>0</v>
      </c>
      <c r="C85" s="6">
        <v>0</v>
      </c>
      <c r="D85" s="6">
        <v>1</v>
      </c>
      <c r="E85" s="6">
        <v>1</v>
      </c>
      <c r="F85" s="6">
        <v>1</v>
      </c>
      <c r="G85" s="6">
        <v>0</v>
      </c>
      <c r="H85" s="6">
        <v>1</v>
      </c>
      <c r="I85" s="6">
        <v>0</v>
      </c>
      <c r="J85" s="6">
        <v>1</v>
      </c>
      <c r="K85" s="6">
        <v>1</v>
      </c>
      <c r="L85" s="7">
        <v>1</v>
      </c>
      <c r="M85" s="7">
        <v>2</v>
      </c>
      <c r="N85" s="7" t="s">
        <v>8</v>
      </c>
      <c r="O85" s="7">
        <v>9</v>
      </c>
      <c r="P85" s="7">
        <v>23</v>
      </c>
      <c r="Q85" s="8">
        <f>R85/90</f>
        <v>5388.8888888888887</v>
      </c>
      <c r="R85" s="8">
        <v>485000</v>
      </c>
      <c r="S85" s="5">
        <f t="shared" si="3"/>
        <v>13.091904169919621</v>
      </c>
      <c r="T85" s="5" t="str">
        <f t="shared" si="4"/>
        <v>D</v>
      </c>
      <c r="U85" s="5">
        <f t="shared" si="5"/>
        <v>4</v>
      </c>
    </row>
    <row r="86" spans="1:21" x14ac:dyDescent="0.3">
      <c r="A86" s="6">
        <v>1</v>
      </c>
      <c r="B86" s="6">
        <v>0</v>
      </c>
      <c r="C86" s="6">
        <v>1</v>
      </c>
      <c r="D86" s="6">
        <v>0</v>
      </c>
      <c r="E86" s="6">
        <v>1</v>
      </c>
      <c r="F86" s="6">
        <v>1</v>
      </c>
      <c r="G86" s="6">
        <v>0</v>
      </c>
      <c r="H86" s="6">
        <v>1</v>
      </c>
      <c r="I86" s="6">
        <v>1</v>
      </c>
      <c r="J86" s="6">
        <v>1</v>
      </c>
      <c r="K86" s="6">
        <v>1</v>
      </c>
      <c r="L86" s="7">
        <v>1</v>
      </c>
      <c r="M86" s="7">
        <v>1</v>
      </c>
      <c r="N86" s="7" t="s">
        <v>12</v>
      </c>
      <c r="O86" s="7">
        <v>8</v>
      </c>
      <c r="P86" s="7">
        <v>23</v>
      </c>
      <c r="Q86" s="8">
        <f>R86/58</f>
        <v>3413.7931034482758</v>
      </c>
      <c r="R86" s="8">
        <v>198000</v>
      </c>
      <c r="S86" s="5">
        <f t="shared" si="3"/>
        <v>12.196022309676673</v>
      </c>
      <c r="T86" s="5" t="str">
        <f t="shared" si="4"/>
        <v>E</v>
      </c>
      <c r="U86" s="5">
        <f t="shared" si="5"/>
        <v>3</v>
      </c>
    </row>
    <row r="87" spans="1:21" x14ac:dyDescent="0.3">
      <c r="A87" s="6">
        <v>1</v>
      </c>
      <c r="B87" s="6">
        <v>0</v>
      </c>
      <c r="C87" s="6">
        <v>0</v>
      </c>
      <c r="D87" s="6">
        <v>1</v>
      </c>
      <c r="E87" s="6">
        <v>1</v>
      </c>
      <c r="F87" s="6">
        <v>1</v>
      </c>
      <c r="G87" s="6">
        <v>0</v>
      </c>
      <c r="H87" s="6">
        <v>1</v>
      </c>
      <c r="I87" s="6">
        <v>1</v>
      </c>
      <c r="J87" s="6">
        <v>0</v>
      </c>
      <c r="K87" s="6">
        <v>1</v>
      </c>
      <c r="L87" s="7">
        <v>2</v>
      </c>
      <c r="M87" s="7">
        <v>2</v>
      </c>
      <c r="N87" s="7" t="s">
        <v>138</v>
      </c>
      <c r="O87" s="7">
        <v>9</v>
      </c>
      <c r="P87" s="7">
        <v>29</v>
      </c>
      <c r="Q87" s="8">
        <f>R87/108</f>
        <v>4305.5555555555557</v>
      </c>
      <c r="R87" s="8">
        <v>465000</v>
      </c>
      <c r="S87" s="5">
        <f t="shared" si="3"/>
        <v>13.049792684569493</v>
      </c>
      <c r="T87" s="5" t="str">
        <f t="shared" si="4"/>
        <v>C</v>
      </c>
      <c r="U87" s="5">
        <f t="shared" si="5"/>
        <v>5</v>
      </c>
    </row>
    <row r="88" spans="1:21" x14ac:dyDescent="0.3">
      <c r="A88" s="6">
        <v>1</v>
      </c>
      <c r="B88" s="6">
        <v>0</v>
      </c>
      <c r="C88" s="6">
        <v>0</v>
      </c>
      <c r="D88" s="6">
        <v>1</v>
      </c>
      <c r="E88" s="6">
        <v>1</v>
      </c>
      <c r="F88" s="6">
        <v>1</v>
      </c>
      <c r="G88" s="6">
        <v>0</v>
      </c>
      <c r="H88" s="6">
        <v>1</v>
      </c>
      <c r="I88" s="6">
        <v>1</v>
      </c>
      <c r="J88" s="6">
        <v>0</v>
      </c>
      <c r="K88" s="6">
        <v>1</v>
      </c>
      <c r="L88" s="7">
        <v>2</v>
      </c>
      <c r="M88" s="7">
        <v>2</v>
      </c>
      <c r="N88" s="7" t="s">
        <v>8</v>
      </c>
      <c r="O88" s="7">
        <v>13</v>
      </c>
      <c r="P88" s="7">
        <v>36</v>
      </c>
      <c r="Q88" s="8">
        <f>R88/88</f>
        <v>2840.909090909091</v>
      </c>
      <c r="R88" s="8">
        <v>250000</v>
      </c>
      <c r="S88" s="5">
        <f t="shared" si="3"/>
        <v>12.429216196844383</v>
      </c>
      <c r="T88" s="5" t="str">
        <f t="shared" si="4"/>
        <v>D</v>
      </c>
      <c r="U88" s="5">
        <f t="shared" si="5"/>
        <v>4</v>
      </c>
    </row>
    <row r="89" spans="1:21" x14ac:dyDescent="0.3">
      <c r="A89" s="6">
        <v>1</v>
      </c>
      <c r="B89" s="6">
        <v>0</v>
      </c>
      <c r="C89" s="6">
        <v>1</v>
      </c>
      <c r="D89" s="6">
        <v>1</v>
      </c>
      <c r="E89" s="6">
        <v>1</v>
      </c>
      <c r="F89" s="6">
        <v>1</v>
      </c>
      <c r="G89" s="6">
        <v>1</v>
      </c>
      <c r="H89" s="6">
        <v>0</v>
      </c>
      <c r="I89" s="6">
        <v>1</v>
      </c>
      <c r="J89" s="6">
        <v>1</v>
      </c>
      <c r="K89" s="6">
        <v>1</v>
      </c>
      <c r="L89" s="7">
        <v>1</v>
      </c>
      <c r="M89" s="7">
        <v>2</v>
      </c>
      <c r="N89" s="7" t="s">
        <v>11</v>
      </c>
      <c r="O89" s="7">
        <v>11</v>
      </c>
      <c r="P89" s="7">
        <v>35</v>
      </c>
      <c r="Q89" s="8">
        <f>R89/79</f>
        <v>4075.9493670886077</v>
      </c>
      <c r="R89" s="8">
        <v>322000</v>
      </c>
      <c r="S89" s="5">
        <f t="shared" si="3"/>
        <v>12.682306824526545</v>
      </c>
      <c r="T89" s="5" t="str">
        <f t="shared" si="4"/>
        <v>A</v>
      </c>
      <c r="U89" s="5">
        <f t="shared" si="5"/>
        <v>7</v>
      </c>
    </row>
    <row r="90" spans="1:21" x14ac:dyDescent="0.3">
      <c r="A90" s="6">
        <v>1</v>
      </c>
      <c r="B90" s="6">
        <v>0</v>
      </c>
      <c r="C90" s="6">
        <v>1</v>
      </c>
      <c r="D90" s="6">
        <v>1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</v>
      </c>
      <c r="L90" s="7">
        <v>1</v>
      </c>
      <c r="M90" s="7">
        <v>1</v>
      </c>
      <c r="N90" s="7" t="s">
        <v>10</v>
      </c>
      <c r="O90" s="7">
        <v>11</v>
      </c>
      <c r="P90" s="7">
        <v>38</v>
      </c>
      <c r="Q90" s="8">
        <f>R90/44</f>
        <v>3397.7272727272725</v>
      </c>
      <c r="R90" s="8">
        <v>149500</v>
      </c>
      <c r="S90" s="5">
        <f t="shared" si="3"/>
        <v>11.915051671812877</v>
      </c>
      <c r="T90" s="5" t="str">
        <f t="shared" si="4"/>
        <v>B</v>
      </c>
      <c r="U90" s="5">
        <f t="shared" si="5"/>
        <v>6</v>
      </c>
    </row>
    <row r="91" spans="1:21" x14ac:dyDescent="0.3">
      <c r="A91" s="6">
        <v>1</v>
      </c>
      <c r="B91" s="6">
        <v>0</v>
      </c>
      <c r="C91" s="6">
        <v>1</v>
      </c>
      <c r="D91" s="6">
        <v>1</v>
      </c>
      <c r="E91" s="6">
        <v>1</v>
      </c>
      <c r="F91" s="6">
        <v>1</v>
      </c>
      <c r="G91" s="6">
        <v>1</v>
      </c>
      <c r="H91" s="6">
        <v>1</v>
      </c>
      <c r="I91" s="6">
        <v>1</v>
      </c>
      <c r="J91" s="6">
        <v>1</v>
      </c>
      <c r="K91" s="6">
        <v>1</v>
      </c>
      <c r="L91" s="7">
        <v>1</v>
      </c>
      <c r="M91" s="7">
        <v>1</v>
      </c>
      <c r="N91" s="7" t="s">
        <v>11</v>
      </c>
      <c r="O91" s="7">
        <v>11</v>
      </c>
      <c r="P91" s="7">
        <v>31</v>
      </c>
      <c r="Q91" s="8">
        <f>R91/66</f>
        <v>3727.2727272727275</v>
      </c>
      <c r="R91" s="8">
        <v>246000</v>
      </c>
      <c r="S91" s="5">
        <f t="shared" si="3"/>
        <v>12.4130868149145</v>
      </c>
      <c r="T91" s="5" t="str">
        <f t="shared" si="4"/>
        <v>A</v>
      </c>
      <c r="U91" s="5">
        <f t="shared" si="5"/>
        <v>7</v>
      </c>
    </row>
    <row r="92" spans="1:21" x14ac:dyDescent="0.3">
      <c r="A92" s="6">
        <v>1</v>
      </c>
      <c r="B92" s="6">
        <v>0</v>
      </c>
      <c r="C92" s="6">
        <v>0</v>
      </c>
      <c r="D92" s="6">
        <v>1</v>
      </c>
      <c r="E92" s="6">
        <v>1</v>
      </c>
      <c r="F92" s="6">
        <v>1</v>
      </c>
      <c r="G92" s="6">
        <v>1</v>
      </c>
      <c r="H92" s="6">
        <v>0</v>
      </c>
      <c r="I92" s="6">
        <v>0</v>
      </c>
      <c r="J92" s="6">
        <v>1</v>
      </c>
      <c r="K92" s="6">
        <v>0</v>
      </c>
      <c r="L92" s="7">
        <v>3</v>
      </c>
      <c r="M92" s="7">
        <v>5</v>
      </c>
      <c r="N92" s="7" t="s">
        <v>6</v>
      </c>
      <c r="O92" s="7">
        <v>9</v>
      </c>
      <c r="P92" s="7">
        <v>21</v>
      </c>
      <c r="Q92" s="8">
        <f>R92/300</f>
        <v>3500</v>
      </c>
      <c r="R92" s="8">
        <v>1050000</v>
      </c>
      <c r="S92" s="5">
        <f t="shared" si="3"/>
        <v>13.864300722133706</v>
      </c>
      <c r="T92" s="5" t="str">
        <f t="shared" si="4"/>
        <v>G</v>
      </c>
      <c r="U92" s="5">
        <f t="shared" si="5"/>
        <v>1</v>
      </c>
    </row>
    <row r="93" spans="1:21" x14ac:dyDescent="0.3">
      <c r="A93" s="6">
        <v>1</v>
      </c>
      <c r="B93" s="6">
        <v>0</v>
      </c>
      <c r="C93" s="6">
        <v>0</v>
      </c>
      <c r="D93" s="6">
        <v>1</v>
      </c>
      <c r="E93" s="6">
        <v>1</v>
      </c>
      <c r="F93" s="6">
        <v>1</v>
      </c>
      <c r="G93" s="6">
        <v>0</v>
      </c>
      <c r="H93" s="6">
        <v>0</v>
      </c>
      <c r="I93" s="6">
        <v>1</v>
      </c>
      <c r="J93" s="6">
        <v>0</v>
      </c>
      <c r="K93" s="6">
        <v>1</v>
      </c>
      <c r="L93" s="7">
        <v>2</v>
      </c>
      <c r="M93" s="7">
        <v>2</v>
      </c>
      <c r="N93" s="7" t="s">
        <v>8</v>
      </c>
      <c r="O93" s="7">
        <v>13</v>
      </c>
      <c r="P93" s="7">
        <v>24</v>
      </c>
      <c r="Q93" s="8">
        <f>R93/85</f>
        <v>4647.0588235294117</v>
      </c>
      <c r="R93" s="8">
        <v>395000</v>
      </c>
      <c r="S93" s="5">
        <f t="shared" si="3"/>
        <v>12.886641043883259</v>
      </c>
      <c r="T93" s="5" t="str">
        <f t="shared" si="4"/>
        <v>D</v>
      </c>
      <c r="U93" s="5">
        <f t="shared" si="5"/>
        <v>4</v>
      </c>
    </row>
    <row r="94" spans="1:21" x14ac:dyDescent="0.3">
      <c r="A94" s="6">
        <v>1</v>
      </c>
      <c r="B94" s="6">
        <v>0</v>
      </c>
      <c r="C94" s="6">
        <v>0</v>
      </c>
      <c r="D94" s="6">
        <v>1</v>
      </c>
      <c r="E94" s="6">
        <v>1</v>
      </c>
      <c r="F94" s="6">
        <v>1</v>
      </c>
      <c r="G94" s="6">
        <v>0</v>
      </c>
      <c r="H94" s="6">
        <v>0</v>
      </c>
      <c r="I94" s="6">
        <v>0</v>
      </c>
      <c r="J94" s="6">
        <v>1</v>
      </c>
      <c r="K94" s="6">
        <v>1</v>
      </c>
      <c r="L94" s="7">
        <v>2</v>
      </c>
      <c r="M94" s="7">
        <v>3</v>
      </c>
      <c r="N94" s="7" t="s">
        <v>11</v>
      </c>
      <c r="O94" s="7">
        <v>15</v>
      </c>
      <c r="P94" s="7">
        <v>60</v>
      </c>
      <c r="Q94" s="8">
        <f>R94/156</f>
        <v>3391.0256410256411</v>
      </c>
      <c r="R94" s="8">
        <v>529000</v>
      </c>
      <c r="S94" s="5">
        <f t="shared" si="3"/>
        <v>13.178743710840436</v>
      </c>
      <c r="T94" s="5" t="str">
        <f t="shared" si="4"/>
        <v>A</v>
      </c>
      <c r="U94" s="5">
        <f t="shared" si="5"/>
        <v>7</v>
      </c>
    </row>
    <row r="95" spans="1:21" x14ac:dyDescent="0.3">
      <c r="A95" s="6">
        <v>1</v>
      </c>
      <c r="B95" s="6">
        <v>0</v>
      </c>
      <c r="C95" s="6">
        <v>0</v>
      </c>
      <c r="D95" s="6">
        <v>1</v>
      </c>
      <c r="E95" s="6">
        <v>0</v>
      </c>
      <c r="F95" s="6">
        <v>1</v>
      </c>
      <c r="G95" s="6">
        <v>1</v>
      </c>
      <c r="H95" s="6">
        <v>0</v>
      </c>
      <c r="I95" s="6">
        <v>0</v>
      </c>
      <c r="J95" s="6">
        <v>0</v>
      </c>
      <c r="K95" s="6">
        <v>1</v>
      </c>
      <c r="L95" s="7">
        <v>1</v>
      </c>
      <c r="M95" s="7">
        <v>2</v>
      </c>
      <c r="N95" s="7" t="s">
        <v>8</v>
      </c>
      <c r="O95" s="7">
        <v>7</v>
      </c>
      <c r="P95" s="7">
        <v>17</v>
      </c>
      <c r="Q95" s="8">
        <f>R95/85</f>
        <v>4411.7647058823532</v>
      </c>
      <c r="R95" s="8">
        <v>375000</v>
      </c>
      <c r="S95" s="5">
        <f t="shared" si="3"/>
        <v>12.834681304952548</v>
      </c>
      <c r="T95" s="5" t="str">
        <f t="shared" si="4"/>
        <v>D</v>
      </c>
      <c r="U95" s="5">
        <f t="shared" si="5"/>
        <v>4</v>
      </c>
    </row>
    <row r="96" spans="1:21" x14ac:dyDescent="0.3">
      <c r="A96" s="6">
        <v>1</v>
      </c>
      <c r="B96" s="6">
        <v>0</v>
      </c>
      <c r="C96" s="6">
        <v>0</v>
      </c>
      <c r="D96" s="6">
        <v>1</v>
      </c>
      <c r="E96" s="6">
        <v>1</v>
      </c>
      <c r="F96" s="6">
        <v>1</v>
      </c>
      <c r="G96" s="6">
        <v>1</v>
      </c>
      <c r="H96" s="6">
        <v>0</v>
      </c>
      <c r="I96" s="6">
        <v>1</v>
      </c>
      <c r="J96" s="6">
        <v>0</v>
      </c>
      <c r="K96" s="6">
        <v>1</v>
      </c>
      <c r="L96" s="7">
        <v>2</v>
      </c>
      <c r="M96" s="7">
        <v>2</v>
      </c>
      <c r="N96" s="7" t="s">
        <v>11</v>
      </c>
      <c r="O96" s="7">
        <v>20</v>
      </c>
      <c r="P96" s="7">
        <v>58</v>
      </c>
      <c r="Q96" s="8">
        <f>R96/106</f>
        <v>3962.2641509433961</v>
      </c>
      <c r="R96" s="8">
        <v>420000</v>
      </c>
      <c r="S96" s="5">
        <f t="shared" si="3"/>
        <v>12.948009990259552</v>
      </c>
      <c r="T96" s="5" t="str">
        <f t="shared" si="4"/>
        <v>A</v>
      </c>
      <c r="U96" s="5">
        <f t="shared" si="5"/>
        <v>7</v>
      </c>
    </row>
    <row r="97" spans="1:21" x14ac:dyDescent="0.3">
      <c r="A97" s="6">
        <v>1</v>
      </c>
      <c r="B97" s="6">
        <v>0</v>
      </c>
      <c r="C97" s="6">
        <v>0</v>
      </c>
      <c r="D97" s="6">
        <v>1</v>
      </c>
      <c r="E97" s="6">
        <v>1</v>
      </c>
      <c r="F97" s="6">
        <v>1</v>
      </c>
      <c r="G97" s="6">
        <v>0</v>
      </c>
      <c r="H97" s="6">
        <v>1</v>
      </c>
      <c r="I97" s="6">
        <v>0</v>
      </c>
      <c r="J97" s="6">
        <v>0</v>
      </c>
      <c r="K97" s="6">
        <v>1</v>
      </c>
      <c r="L97" s="7">
        <v>1</v>
      </c>
      <c r="M97" s="7">
        <v>2</v>
      </c>
      <c r="N97" s="7" t="s">
        <v>138</v>
      </c>
      <c r="O97" s="7">
        <v>34</v>
      </c>
      <c r="P97" s="7">
        <v>49</v>
      </c>
      <c r="Q97" s="8">
        <f>R97/90</f>
        <v>2611.1111111111113</v>
      </c>
      <c r="R97" s="8">
        <v>235000</v>
      </c>
      <c r="S97" s="5">
        <f t="shared" si="3"/>
        <v>12.367340793126296</v>
      </c>
      <c r="T97" s="5" t="str">
        <f t="shared" si="4"/>
        <v>C</v>
      </c>
      <c r="U97" s="5">
        <f t="shared" si="5"/>
        <v>5</v>
      </c>
    </row>
    <row r="98" spans="1:21" x14ac:dyDescent="0.3">
      <c r="A98" s="6">
        <v>0</v>
      </c>
      <c r="B98" s="6">
        <v>0</v>
      </c>
      <c r="C98" s="6">
        <v>0</v>
      </c>
      <c r="D98" s="6">
        <v>1</v>
      </c>
      <c r="E98" s="6">
        <v>1</v>
      </c>
      <c r="F98" s="6">
        <v>0</v>
      </c>
      <c r="G98" s="6">
        <v>1</v>
      </c>
      <c r="H98" s="6">
        <v>0</v>
      </c>
      <c r="I98" s="6">
        <v>0</v>
      </c>
      <c r="J98" s="6">
        <v>0</v>
      </c>
      <c r="K98" s="6">
        <v>1</v>
      </c>
      <c r="L98" s="7">
        <v>6</v>
      </c>
      <c r="M98" s="7">
        <v>9</v>
      </c>
      <c r="N98" s="7" t="s">
        <v>6</v>
      </c>
      <c r="O98" s="7">
        <v>20</v>
      </c>
      <c r="P98" s="7">
        <v>90</v>
      </c>
      <c r="Q98" s="8">
        <v>640</v>
      </c>
      <c r="R98" s="8">
        <v>1800000</v>
      </c>
      <c r="S98" s="5">
        <f t="shared" si="3"/>
        <v>14.403297222866392</v>
      </c>
      <c r="T98" s="5" t="str">
        <f t="shared" si="4"/>
        <v>G</v>
      </c>
      <c r="U98" s="5">
        <f t="shared" si="5"/>
        <v>1</v>
      </c>
    </row>
    <row r="99" spans="1:21" x14ac:dyDescent="0.3">
      <c r="A99" s="6">
        <v>1</v>
      </c>
      <c r="B99" s="6">
        <v>0</v>
      </c>
      <c r="C99" s="6">
        <v>1</v>
      </c>
      <c r="D99" s="6">
        <v>1</v>
      </c>
      <c r="E99" s="6">
        <v>1</v>
      </c>
      <c r="F99" s="6">
        <v>1</v>
      </c>
      <c r="G99" s="6">
        <v>1</v>
      </c>
      <c r="H99" s="6">
        <v>1</v>
      </c>
      <c r="I99" s="6">
        <v>0</v>
      </c>
      <c r="J99" s="6">
        <v>0</v>
      </c>
      <c r="K99" s="6">
        <v>1</v>
      </c>
      <c r="L99" s="7">
        <v>1</v>
      </c>
      <c r="M99" s="7">
        <v>1</v>
      </c>
      <c r="N99" s="7" t="s">
        <v>11</v>
      </c>
      <c r="O99" s="7">
        <v>18</v>
      </c>
      <c r="P99" s="7">
        <v>26</v>
      </c>
      <c r="Q99" s="8">
        <f>R99/73</f>
        <v>3219.178082191781</v>
      </c>
      <c r="R99" s="8">
        <v>235000</v>
      </c>
      <c r="S99" s="5">
        <f t="shared" ref="S99:S130" si="6">LN(R99)</f>
        <v>12.367340793126296</v>
      </c>
      <c r="T99" s="5" t="str">
        <f t="shared" si="4"/>
        <v>A</v>
      </c>
      <c r="U99" s="5">
        <f t="shared" si="5"/>
        <v>7</v>
      </c>
    </row>
    <row r="100" spans="1:21" x14ac:dyDescent="0.3">
      <c r="A100" s="6">
        <v>1</v>
      </c>
      <c r="B100" s="6">
        <v>0</v>
      </c>
      <c r="C100" s="6">
        <v>1</v>
      </c>
      <c r="D100" s="6">
        <v>1</v>
      </c>
      <c r="E100" s="6">
        <v>0</v>
      </c>
      <c r="F100" s="6">
        <v>1</v>
      </c>
      <c r="G100" s="6">
        <v>0</v>
      </c>
      <c r="H100" s="6">
        <v>1</v>
      </c>
      <c r="I100" s="6">
        <v>0</v>
      </c>
      <c r="J100" s="6">
        <v>0</v>
      </c>
      <c r="K100" s="6">
        <v>1</v>
      </c>
      <c r="L100" s="7">
        <v>1</v>
      </c>
      <c r="M100" s="7">
        <v>1</v>
      </c>
      <c r="N100" s="7" t="s">
        <v>12</v>
      </c>
      <c r="O100" s="7">
        <v>13</v>
      </c>
      <c r="P100" s="7">
        <v>35</v>
      </c>
      <c r="Q100" s="8">
        <f>R100/61</f>
        <v>4508.1967213114758</v>
      </c>
      <c r="R100" s="8">
        <v>275000</v>
      </c>
      <c r="S100" s="5">
        <f t="shared" si="6"/>
        <v>12.524526376648708</v>
      </c>
      <c r="T100" s="5" t="str">
        <f t="shared" si="4"/>
        <v>E</v>
      </c>
      <c r="U100" s="5">
        <f t="shared" si="5"/>
        <v>3</v>
      </c>
    </row>
    <row r="101" spans="1:21" x14ac:dyDescent="0.3">
      <c r="A101" s="6">
        <v>1</v>
      </c>
      <c r="B101" s="6">
        <v>0</v>
      </c>
      <c r="C101" s="6">
        <v>0</v>
      </c>
      <c r="D101" s="6">
        <v>1</v>
      </c>
      <c r="E101" s="6">
        <v>0</v>
      </c>
      <c r="F101" s="6">
        <v>0</v>
      </c>
      <c r="G101" s="6">
        <v>0</v>
      </c>
      <c r="H101" s="6">
        <v>1</v>
      </c>
      <c r="I101" s="6">
        <v>0</v>
      </c>
      <c r="J101" s="6">
        <v>1</v>
      </c>
      <c r="K101" s="6">
        <v>1</v>
      </c>
      <c r="L101" s="7">
        <v>2</v>
      </c>
      <c r="M101" s="7">
        <v>3</v>
      </c>
      <c r="N101" s="7" t="s">
        <v>6</v>
      </c>
      <c r="O101" s="7">
        <v>8</v>
      </c>
      <c r="P101" s="7">
        <v>25</v>
      </c>
      <c r="Q101" s="8">
        <f>R101/155</f>
        <v>4580.6451612903229</v>
      </c>
      <c r="R101" s="8">
        <v>710000</v>
      </c>
      <c r="S101" s="5">
        <f t="shared" si="6"/>
        <v>13.473020249017498</v>
      </c>
      <c r="T101" s="5" t="str">
        <f t="shared" si="4"/>
        <v>G</v>
      </c>
      <c r="U101" s="5">
        <f t="shared" si="5"/>
        <v>1</v>
      </c>
    </row>
    <row r="102" spans="1:21" x14ac:dyDescent="0.3">
      <c r="A102" s="6">
        <v>1</v>
      </c>
      <c r="B102" s="6">
        <v>0</v>
      </c>
      <c r="C102" s="6">
        <v>0</v>
      </c>
      <c r="D102" s="6">
        <v>1</v>
      </c>
      <c r="E102" s="6">
        <v>0</v>
      </c>
      <c r="F102" s="6">
        <v>1</v>
      </c>
      <c r="G102" s="6">
        <v>1</v>
      </c>
      <c r="H102" s="6">
        <v>1</v>
      </c>
      <c r="I102" s="6">
        <v>0</v>
      </c>
      <c r="J102" s="6">
        <v>0</v>
      </c>
      <c r="K102" s="6">
        <v>1</v>
      </c>
      <c r="L102" s="7">
        <v>1</v>
      </c>
      <c r="M102" s="7">
        <v>2</v>
      </c>
      <c r="N102" s="7" t="s">
        <v>13</v>
      </c>
      <c r="O102" s="7">
        <v>14</v>
      </c>
      <c r="P102" s="7">
        <v>38</v>
      </c>
      <c r="Q102" s="8">
        <f>R102/100</f>
        <v>4300</v>
      </c>
      <c r="R102" s="8">
        <v>430000</v>
      </c>
      <c r="S102" s="5">
        <f t="shared" si="6"/>
        <v>12.971540487669746</v>
      </c>
      <c r="T102" s="5" t="str">
        <f t="shared" si="4"/>
        <v>F</v>
      </c>
      <c r="U102" s="5">
        <f t="shared" si="5"/>
        <v>2</v>
      </c>
    </row>
    <row r="103" spans="1:21" x14ac:dyDescent="0.3">
      <c r="A103" s="6">
        <v>1</v>
      </c>
      <c r="B103" s="6">
        <v>0</v>
      </c>
      <c r="C103" s="6">
        <v>0</v>
      </c>
      <c r="D103" s="6">
        <v>1</v>
      </c>
      <c r="E103" s="6">
        <v>0</v>
      </c>
      <c r="F103" s="6">
        <v>1</v>
      </c>
      <c r="G103" s="6">
        <v>1</v>
      </c>
      <c r="H103" s="6">
        <v>1</v>
      </c>
      <c r="I103" s="6">
        <v>1</v>
      </c>
      <c r="J103" s="6">
        <v>0</v>
      </c>
      <c r="K103" s="6">
        <v>1</v>
      </c>
      <c r="L103" s="7">
        <v>2</v>
      </c>
      <c r="M103" s="7">
        <v>3</v>
      </c>
      <c r="N103" s="7" t="s">
        <v>13</v>
      </c>
      <c r="O103" s="7">
        <v>15</v>
      </c>
      <c r="P103" s="7">
        <v>43</v>
      </c>
      <c r="Q103" s="8">
        <f>R103/115</f>
        <v>2739.1304347826085</v>
      </c>
      <c r="R103" s="8">
        <v>315000</v>
      </c>
      <c r="S103" s="5">
        <f t="shared" si="6"/>
        <v>12.66032791780777</v>
      </c>
      <c r="T103" s="5" t="str">
        <f t="shared" si="4"/>
        <v>F</v>
      </c>
      <c r="U103" s="5">
        <f t="shared" si="5"/>
        <v>2</v>
      </c>
    </row>
    <row r="104" spans="1:21" x14ac:dyDescent="0.3">
      <c r="A104" s="6">
        <v>1</v>
      </c>
      <c r="B104" s="6">
        <v>0</v>
      </c>
      <c r="C104" s="6">
        <v>0</v>
      </c>
      <c r="D104" s="6">
        <v>1</v>
      </c>
      <c r="E104" s="6">
        <v>0</v>
      </c>
      <c r="F104" s="6">
        <v>1</v>
      </c>
      <c r="G104" s="6">
        <v>0</v>
      </c>
      <c r="H104" s="6">
        <v>1</v>
      </c>
      <c r="I104" s="6">
        <v>0</v>
      </c>
      <c r="J104" s="6">
        <v>1</v>
      </c>
      <c r="K104" s="6">
        <v>1</v>
      </c>
      <c r="L104" s="7">
        <v>1</v>
      </c>
      <c r="M104" s="7">
        <v>2</v>
      </c>
      <c r="N104" s="7" t="s">
        <v>6</v>
      </c>
      <c r="O104" s="7">
        <v>20</v>
      </c>
      <c r="P104" s="7">
        <v>31</v>
      </c>
      <c r="Q104" s="8">
        <f>R104/90</f>
        <v>3555.5555555555557</v>
      </c>
      <c r="R104" s="8">
        <v>320000</v>
      </c>
      <c r="S104" s="5">
        <f t="shared" si="6"/>
        <v>12.676076274775909</v>
      </c>
      <c r="T104" s="5" t="str">
        <f t="shared" si="4"/>
        <v>G</v>
      </c>
      <c r="U104" s="5">
        <f t="shared" si="5"/>
        <v>1</v>
      </c>
    </row>
    <row r="105" spans="1:21" x14ac:dyDescent="0.3">
      <c r="A105" s="6">
        <v>0</v>
      </c>
      <c r="B105" s="6">
        <v>0</v>
      </c>
      <c r="C105" s="6">
        <v>0</v>
      </c>
      <c r="D105" s="6">
        <v>0</v>
      </c>
      <c r="E105" s="6">
        <v>1</v>
      </c>
      <c r="F105" s="6">
        <v>0</v>
      </c>
      <c r="G105" s="6">
        <v>0</v>
      </c>
      <c r="H105" s="6">
        <v>1</v>
      </c>
      <c r="I105" s="6">
        <v>0</v>
      </c>
      <c r="J105" s="6">
        <v>1</v>
      </c>
      <c r="K105" s="6">
        <v>0</v>
      </c>
      <c r="L105" s="7">
        <v>3</v>
      </c>
      <c r="M105" s="7">
        <v>3</v>
      </c>
      <c r="N105" s="7" t="s">
        <v>138</v>
      </c>
      <c r="O105" s="7">
        <v>15</v>
      </c>
      <c r="P105" s="7">
        <v>24</v>
      </c>
      <c r="Q105" s="8">
        <f>R105/309</f>
        <v>4692.5566343042074</v>
      </c>
      <c r="R105" s="8">
        <v>1450000</v>
      </c>
      <c r="S105" s="5">
        <f t="shared" si="6"/>
        <v>14.187074114396758</v>
      </c>
      <c r="T105" s="5" t="str">
        <f t="shared" si="4"/>
        <v>C</v>
      </c>
      <c r="U105" s="5">
        <f t="shared" si="5"/>
        <v>5</v>
      </c>
    </row>
    <row r="106" spans="1:21" x14ac:dyDescent="0.3">
      <c r="A106" s="6">
        <v>1</v>
      </c>
      <c r="B106" s="6">
        <v>0</v>
      </c>
      <c r="C106" s="6">
        <v>1</v>
      </c>
      <c r="D106" s="6">
        <v>0</v>
      </c>
      <c r="E106" s="6">
        <v>1</v>
      </c>
      <c r="F106" s="6">
        <v>0</v>
      </c>
      <c r="G106" s="6">
        <v>1</v>
      </c>
      <c r="H106" s="6">
        <v>1</v>
      </c>
      <c r="I106" s="6">
        <v>0</v>
      </c>
      <c r="J106" s="6">
        <v>0</v>
      </c>
      <c r="K106" s="6">
        <v>1</v>
      </c>
      <c r="L106" s="7">
        <v>2</v>
      </c>
      <c r="M106" s="7">
        <v>1</v>
      </c>
      <c r="N106" s="7" t="s">
        <v>6</v>
      </c>
      <c r="O106" s="7">
        <v>19</v>
      </c>
      <c r="P106" s="7">
        <v>31</v>
      </c>
      <c r="Q106" s="8">
        <f>R106/75</f>
        <v>3333.3333333333335</v>
      </c>
      <c r="R106" s="8">
        <v>250000</v>
      </c>
      <c r="S106" s="5">
        <f t="shared" si="6"/>
        <v>12.429216196844383</v>
      </c>
      <c r="T106" s="5" t="str">
        <f t="shared" si="4"/>
        <v>G</v>
      </c>
      <c r="U106" s="5">
        <f t="shared" si="5"/>
        <v>1</v>
      </c>
    </row>
    <row r="107" spans="1:21" x14ac:dyDescent="0.3">
      <c r="A107" s="6">
        <v>1</v>
      </c>
      <c r="B107" s="6">
        <v>0</v>
      </c>
      <c r="C107" s="6">
        <v>1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1</v>
      </c>
      <c r="K107" s="6">
        <v>0</v>
      </c>
      <c r="L107" s="7">
        <v>1</v>
      </c>
      <c r="M107" s="7">
        <v>1</v>
      </c>
      <c r="N107" s="7" t="s">
        <v>13</v>
      </c>
      <c r="O107" s="7">
        <v>19</v>
      </c>
      <c r="P107" s="7">
        <v>42</v>
      </c>
      <c r="Q107" s="8">
        <f>R107/50</f>
        <v>3440</v>
      </c>
      <c r="R107" s="8">
        <v>172000</v>
      </c>
      <c r="S107" s="5">
        <f t="shared" si="6"/>
        <v>12.05524975579559</v>
      </c>
      <c r="T107" s="5" t="str">
        <f t="shared" si="4"/>
        <v>F</v>
      </c>
      <c r="U107" s="5">
        <f t="shared" si="5"/>
        <v>2</v>
      </c>
    </row>
    <row r="108" spans="1:21" x14ac:dyDescent="0.3">
      <c r="A108" s="6">
        <v>1</v>
      </c>
      <c r="B108" s="6">
        <v>0</v>
      </c>
      <c r="C108" s="6">
        <v>0</v>
      </c>
      <c r="D108" s="6">
        <v>1</v>
      </c>
      <c r="E108" s="6">
        <v>0</v>
      </c>
      <c r="F108" s="6">
        <v>1</v>
      </c>
      <c r="G108" s="6">
        <v>1</v>
      </c>
      <c r="H108" s="6">
        <v>1</v>
      </c>
      <c r="I108" s="6">
        <v>0</v>
      </c>
      <c r="J108" s="6">
        <v>0</v>
      </c>
      <c r="K108" s="6">
        <v>1</v>
      </c>
      <c r="L108" s="7">
        <v>2</v>
      </c>
      <c r="M108" s="7">
        <v>3</v>
      </c>
      <c r="N108" s="7" t="s">
        <v>6</v>
      </c>
      <c r="O108" s="7">
        <v>21</v>
      </c>
      <c r="P108" s="7">
        <v>27</v>
      </c>
      <c r="Q108" s="8">
        <f>R108/115</f>
        <v>3000</v>
      </c>
      <c r="R108" s="8">
        <v>345000</v>
      </c>
      <c r="S108" s="5">
        <f t="shared" si="6"/>
        <v>12.751299696013497</v>
      </c>
      <c r="T108" s="5" t="str">
        <f t="shared" si="4"/>
        <v>G</v>
      </c>
      <c r="U108" s="5">
        <f t="shared" si="5"/>
        <v>1</v>
      </c>
    </row>
    <row r="109" spans="1:21" x14ac:dyDescent="0.3">
      <c r="A109" s="6">
        <v>1</v>
      </c>
      <c r="B109" s="6">
        <v>0</v>
      </c>
      <c r="C109" s="6">
        <v>0</v>
      </c>
      <c r="D109" s="6">
        <v>0</v>
      </c>
      <c r="E109" s="6">
        <v>0</v>
      </c>
      <c r="F109" s="6">
        <v>1</v>
      </c>
      <c r="G109" s="6">
        <v>0</v>
      </c>
      <c r="H109" s="6">
        <v>1</v>
      </c>
      <c r="I109" s="6">
        <v>0</v>
      </c>
      <c r="J109" s="6">
        <v>1</v>
      </c>
      <c r="K109" s="6">
        <v>1</v>
      </c>
      <c r="L109" s="7">
        <v>1</v>
      </c>
      <c r="M109" s="7">
        <v>2</v>
      </c>
      <c r="N109" s="7" t="s">
        <v>12</v>
      </c>
      <c r="O109" s="7">
        <v>17</v>
      </c>
      <c r="P109" s="7">
        <v>19</v>
      </c>
      <c r="Q109" s="8">
        <f>R109/120</f>
        <v>3158.3333333333335</v>
      </c>
      <c r="R109" s="8">
        <v>379000</v>
      </c>
      <c r="S109" s="5">
        <f t="shared" si="6"/>
        <v>12.845291484064564</v>
      </c>
      <c r="T109" s="5" t="str">
        <f t="shared" si="4"/>
        <v>E</v>
      </c>
      <c r="U109" s="5">
        <f t="shared" si="5"/>
        <v>3</v>
      </c>
    </row>
    <row r="110" spans="1:21" x14ac:dyDescent="0.3">
      <c r="A110" s="6">
        <v>1</v>
      </c>
      <c r="B110" s="6">
        <v>0</v>
      </c>
      <c r="C110" s="6">
        <v>1</v>
      </c>
      <c r="D110" s="6">
        <v>1</v>
      </c>
      <c r="E110" s="6">
        <v>1</v>
      </c>
      <c r="F110" s="6">
        <v>1</v>
      </c>
      <c r="G110" s="6">
        <v>1</v>
      </c>
      <c r="H110" s="6">
        <v>0</v>
      </c>
      <c r="I110" s="6">
        <v>0</v>
      </c>
      <c r="J110" s="6">
        <v>0</v>
      </c>
      <c r="K110" s="6">
        <v>1</v>
      </c>
      <c r="L110" s="7">
        <v>1</v>
      </c>
      <c r="M110" s="7">
        <v>0</v>
      </c>
      <c r="N110" s="7" t="s">
        <v>11</v>
      </c>
      <c r="O110" s="7">
        <v>29</v>
      </c>
      <c r="P110" s="7">
        <v>38</v>
      </c>
      <c r="Q110" s="8">
        <f>R110/51</f>
        <v>3137.2549019607845</v>
      </c>
      <c r="R110" s="8">
        <v>160000</v>
      </c>
      <c r="S110" s="5">
        <f t="shared" si="6"/>
        <v>11.982929094215963</v>
      </c>
      <c r="T110" s="5" t="str">
        <f t="shared" si="4"/>
        <v>A</v>
      </c>
      <c r="U110" s="5">
        <f t="shared" si="5"/>
        <v>7</v>
      </c>
    </row>
    <row r="111" spans="1:21" x14ac:dyDescent="0.3">
      <c r="A111" s="6">
        <v>1</v>
      </c>
      <c r="B111" s="6">
        <v>0</v>
      </c>
      <c r="C111" s="6">
        <v>1</v>
      </c>
      <c r="D111" s="6">
        <v>0</v>
      </c>
      <c r="E111" s="6">
        <v>1</v>
      </c>
      <c r="F111" s="6">
        <v>1</v>
      </c>
      <c r="G111" s="6">
        <v>1</v>
      </c>
      <c r="H111" s="6">
        <v>1</v>
      </c>
      <c r="I111" s="6">
        <v>1</v>
      </c>
      <c r="J111" s="6">
        <v>1</v>
      </c>
      <c r="K111" s="6">
        <v>1</v>
      </c>
      <c r="L111" s="7">
        <v>1</v>
      </c>
      <c r="M111" s="7">
        <v>1</v>
      </c>
      <c r="N111" s="7" t="s">
        <v>12</v>
      </c>
      <c r="O111" s="7">
        <v>15</v>
      </c>
      <c r="P111" s="7">
        <v>17</v>
      </c>
      <c r="Q111" s="8">
        <f>R111/58</f>
        <v>4741.3793103448279</v>
      </c>
      <c r="R111" s="8">
        <v>275000</v>
      </c>
      <c r="S111" s="5">
        <f t="shared" si="6"/>
        <v>12.524526376648708</v>
      </c>
      <c r="T111" s="5" t="str">
        <f t="shared" si="4"/>
        <v>E</v>
      </c>
      <c r="U111" s="5">
        <f t="shared" si="5"/>
        <v>3</v>
      </c>
    </row>
    <row r="112" spans="1:21" x14ac:dyDescent="0.3">
      <c r="A112" s="6">
        <v>1</v>
      </c>
      <c r="B112" s="6">
        <v>0</v>
      </c>
      <c r="C112" s="6">
        <v>0</v>
      </c>
      <c r="D112" s="6">
        <v>1</v>
      </c>
      <c r="E112" s="6">
        <v>1</v>
      </c>
      <c r="F112" s="6">
        <v>1</v>
      </c>
      <c r="G112" s="6">
        <v>1</v>
      </c>
      <c r="H112" s="6">
        <v>1</v>
      </c>
      <c r="I112" s="6">
        <v>0</v>
      </c>
      <c r="J112" s="6">
        <v>0</v>
      </c>
      <c r="K112" s="6">
        <v>1</v>
      </c>
      <c r="L112" s="7">
        <v>2</v>
      </c>
      <c r="M112" s="7">
        <v>3</v>
      </c>
      <c r="N112" s="7" t="s">
        <v>12</v>
      </c>
      <c r="O112" s="7">
        <v>17</v>
      </c>
      <c r="P112" s="7">
        <v>27</v>
      </c>
      <c r="Q112" s="8">
        <f>R112/155</f>
        <v>3193.5483870967741</v>
      </c>
      <c r="R112" s="8">
        <v>495000</v>
      </c>
      <c r="S112" s="5">
        <f t="shared" si="6"/>
        <v>13.112313041550827</v>
      </c>
      <c r="T112" s="5" t="str">
        <f t="shared" si="4"/>
        <v>E</v>
      </c>
      <c r="U112" s="5">
        <f t="shared" si="5"/>
        <v>3</v>
      </c>
    </row>
    <row r="113" spans="1:21" x14ac:dyDescent="0.3">
      <c r="A113" s="6">
        <v>1</v>
      </c>
      <c r="B113" s="6">
        <v>0</v>
      </c>
      <c r="C113" s="6">
        <v>0</v>
      </c>
      <c r="D113" s="6">
        <v>1</v>
      </c>
      <c r="E113" s="6">
        <v>1</v>
      </c>
      <c r="F113" s="6">
        <v>1</v>
      </c>
      <c r="G113" s="6">
        <v>1</v>
      </c>
      <c r="H113" s="6">
        <v>1</v>
      </c>
      <c r="I113" s="6">
        <v>0</v>
      </c>
      <c r="J113" s="6">
        <v>0</v>
      </c>
      <c r="K113" s="6">
        <v>1</v>
      </c>
      <c r="L113" s="7">
        <v>2</v>
      </c>
      <c r="M113" s="7">
        <v>2</v>
      </c>
      <c r="N113" s="7" t="s">
        <v>10</v>
      </c>
      <c r="O113" s="7">
        <v>15</v>
      </c>
      <c r="P113" s="7">
        <v>24</v>
      </c>
      <c r="Q113" s="8">
        <f>R113/95</f>
        <v>5210.5263157894733</v>
      </c>
      <c r="R113" s="8">
        <v>495000</v>
      </c>
      <c r="S113" s="5">
        <f t="shared" si="6"/>
        <v>13.112313041550827</v>
      </c>
      <c r="T113" s="5" t="str">
        <f t="shared" si="4"/>
        <v>B</v>
      </c>
      <c r="U113" s="5">
        <f t="shared" si="5"/>
        <v>6</v>
      </c>
    </row>
    <row r="114" spans="1:21" x14ac:dyDescent="0.3">
      <c r="A114" s="6">
        <v>1</v>
      </c>
      <c r="B114" s="6">
        <v>0</v>
      </c>
      <c r="C114" s="6">
        <v>1</v>
      </c>
      <c r="D114" s="6">
        <v>1</v>
      </c>
      <c r="E114" s="6">
        <v>1</v>
      </c>
      <c r="F114" s="6">
        <v>1</v>
      </c>
      <c r="G114" s="6">
        <v>1</v>
      </c>
      <c r="H114" s="6">
        <v>0</v>
      </c>
      <c r="I114" s="6">
        <v>0</v>
      </c>
      <c r="J114" s="6">
        <v>0</v>
      </c>
      <c r="K114" s="6">
        <v>1</v>
      </c>
      <c r="L114" s="7">
        <v>1</v>
      </c>
      <c r="M114" s="7">
        <v>1</v>
      </c>
      <c r="N114" s="7" t="s">
        <v>12</v>
      </c>
      <c r="O114" s="7">
        <v>26</v>
      </c>
      <c r="P114" s="7">
        <v>42</v>
      </c>
      <c r="Q114" s="8">
        <f>R114/60</f>
        <v>2550</v>
      </c>
      <c r="R114" s="8">
        <v>153000</v>
      </c>
      <c r="S114" s="5">
        <f t="shared" si="6"/>
        <v>11.938193200374572</v>
      </c>
      <c r="T114" s="5" t="str">
        <f t="shared" si="4"/>
        <v>E</v>
      </c>
      <c r="U114" s="5">
        <f t="shared" si="5"/>
        <v>3</v>
      </c>
    </row>
    <row r="115" spans="1:21" x14ac:dyDescent="0.3">
      <c r="A115" s="6">
        <v>1</v>
      </c>
      <c r="B115" s="6">
        <v>0</v>
      </c>
      <c r="C115" s="6">
        <v>1</v>
      </c>
      <c r="D115" s="6">
        <v>0</v>
      </c>
      <c r="E115" s="6">
        <v>1</v>
      </c>
      <c r="F115" s="6">
        <v>1</v>
      </c>
      <c r="G115" s="6">
        <v>0</v>
      </c>
      <c r="H115" s="6">
        <v>0</v>
      </c>
      <c r="I115" s="6">
        <v>0</v>
      </c>
      <c r="J115" s="6">
        <v>0</v>
      </c>
      <c r="K115" s="6">
        <v>1</v>
      </c>
      <c r="L115" s="7">
        <v>1</v>
      </c>
      <c r="M115" s="7">
        <v>1</v>
      </c>
      <c r="N115" s="7" t="s">
        <v>12</v>
      </c>
      <c r="O115" s="7">
        <v>19</v>
      </c>
      <c r="P115" s="7">
        <v>27</v>
      </c>
      <c r="Q115" s="8">
        <f>R115/69</f>
        <v>3550.7246376811595</v>
      </c>
      <c r="R115" s="8">
        <v>245000</v>
      </c>
      <c r="S115" s="5">
        <f t="shared" si="6"/>
        <v>12.409013489526863</v>
      </c>
      <c r="T115" s="5" t="str">
        <f t="shared" si="4"/>
        <v>E</v>
      </c>
      <c r="U115" s="5">
        <f t="shared" si="5"/>
        <v>3</v>
      </c>
    </row>
    <row r="116" spans="1:21" x14ac:dyDescent="0.3">
      <c r="A116" s="6">
        <v>1</v>
      </c>
      <c r="B116" s="6">
        <v>0</v>
      </c>
      <c r="C116" s="6">
        <v>0</v>
      </c>
      <c r="D116" s="6">
        <v>1</v>
      </c>
      <c r="E116" s="6">
        <v>1</v>
      </c>
      <c r="F116" s="6">
        <v>1</v>
      </c>
      <c r="G116" s="6">
        <v>0</v>
      </c>
      <c r="H116" s="6">
        <v>1</v>
      </c>
      <c r="I116" s="6">
        <v>1</v>
      </c>
      <c r="J116" s="6">
        <v>0</v>
      </c>
      <c r="K116" s="6">
        <v>1</v>
      </c>
      <c r="L116" s="7">
        <v>1</v>
      </c>
      <c r="M116" s="7">
        <v>2</v>
      </c>
      <c r="N116" s="7" t="s">
        <v>13</v>
      </c>
      <c r="O116" s="7">
        <v>13</v>
      </c>
      <c r="P116" s="7">
        <v>16</v>
      </c>
      <c r="Q116" s="8">
        <f>R116/90</f>
        <v>3055.5555555555557</v>
      </c>
      <c r="R116" s="8">
        <v>275000</v>
      </c>
      <c r="S116" s="5">
        <f t="shared" si="6"/>
        <v>12.524526376648708</v>
      </c>
      <c r="T116" s="5" t="str">
        <f t="shared" si="4"/>
        <v>F</v>
      </c>
      <c r="U116" s="5">
        <f t="shared" si="5"/>
        <v>2</v>
      </c>
    </row>
    <row r="117" spans="1:21" x14ac:dyDescent="0.3">
      <c r="A117" s="6">
        <v>1</v>
      </c>
      <c r="B117" s="6">
        <v>0</v>
      </c>
      <c r="C117" s="6">
        <v>1</v>
      </c>
      <c r="D117" s="6">
        <v>1</v>
      </c>
      <c r="E117" s="6">
        <v>1</v>
      </c>
      <c r="F117" s="6">
        <v>1</v>
      </c>
      <c r="G117" s="6">
        <v>0</v>
      </c>
      <c r="H117" s="6">
        <v>1</v>
      </c>
      <c r="I117" s="6">
        <v>1</v>
      </c>
      <c r="J117" s="6">
        <v>0</v>
      </c>
      <c r="K117" s="6">
        <v>1</v>
      </c>
      <c r="L117" s="7">
        <v>1</v>
      </c>
      <c r="M117" s="7">
        <v>1</v>
      </c>
      <c r="N117" s="7" t="s">
        <v>13</v>
      </c>
      <c r="O117" s="7">
        <v>18</v>
      </c>
      <c r="P117" s="7">
        <v>20</v>
      </c>
      <c r="Q117" s="8">
        <f>R117/70</f>
        <v>3357.1428571428573</v>
      </c>
      <c r="R117" s="8">
        <v>235000</v>
      </c>
      <c r="S117" s="5">
        <f t="shared" si="6"/>
        <v>12.367340793126296</v>
      </c>
      <c r="T117" s="5" t="str">
        <f t="shared" si="4"/>
        <v>F</v>
      </c>
      <c r="U117" s="5">
        <f t="shared" si="5"/>
        <v>2</v>
      </c>
    </row>
    <row r="118" spans="1:21" x14ac:dyDescent="0.3">
      <c r="A118" s="6">
        <v>1</v>
      </c>
      <c r="B118" s="6">
        <v>0</v>
      </c>
      <c r="C118" s="6">
        <v>0</v>
      </c>
      <c r="D118" s="6">
        <v>1</v>
      </c>
      <c r="E118" s="6">
        <v>0</v>
      </c>
      <c r="F118" s="6">
        <v>1</v>
      </c>
      <c r="G118" s="6">
        <v>0</v>
      </c>
      <c r="H118" s="6">
        <v>1</v>
      </c>
      <c r="I118" s="6">
        <v>1</v>
      </c>
      <c r="J118" s="6">
        <v>0</v>
      </c>
      <c r="K118" s="6">
        <v>1</v>
      </c>
      <c r="L118" s="7">
        <v>1</v>
      </c>
      <c r="M118" s="7">
        <v>2</v>
      </c>
      <c r="N118" s="7" t="s">
        <v>13</v>
      </c>
      <c r="O118" s="7">
        <v>20</v>
      </c>
      <c r="P118" s="7">
        <v>13</v>
      </c>
      <c r="Q118" s="8">
        <f>R118/88</f>
        <v>4534.090909090909</v>
      </c>
      <c r="R118" s="8">
        <v>399000</v>
      </c>
      <c r="S118" s="5">
        <f t="shared" si="6"/>
        <v>12.896716695872</v>
      </c>
      <c r="T118" s="5" t="str">
        <f t="shared" si="4"/>
        <v>F</v>
      </c>
      <c r="U118" s="5">
        <f t="shared" si="5"/>
        <v>2</v>
      </c>
    </row>
    <row r="119" spans="1:21" x14ac:dyDescent="0.3">
      <c r="A119" s="6">
        <v>1</v>
      </c>
      <c r="B119" s="6">
        <v>0</v>
      </c>
      <c r="C119" s="6">
        <v>1</v>
      </c>
      <c r="D119" s="6">
        <v>1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1</v>
      </c>
      <c r="L119" s="7">
        <v>1</v>
      </c>
      <c r="M119" s="7">
        <v>1</v>
      </c>
      <c r="N119" s="7" t="s">
        <v>8</v>
      </c>
      <c r="O119" s="7">
        <v>17</v>
      </c>
      <c r="P119" s="7">
        <v>14</v>
      </c>
      <c r="Q119" s="8">
        <f>R119/60</f>
        <v>3916.6666666666665</v>
      </c>
      <c r="R119" s="8">
        <v>235000</v>
      </c>
      <c r="S119" s="5">
        <f t="shared" si="6"/>
        <v>12.367340793126296</v>
      </c>
      <c r="T119" s="5" t="str">
        <f t="shared" si="4"/>
        <v>D</v>
      </c>
      <c r="U119" s="5">
        <f t="shared" si="5"/>
        <v>4</v>
      </c>
    </row>
    <row r="120" spans="1:21" x14ac:dyDescent="0.3">
      <c r="A120" s="6">
        <v>1</v>
      </c>
      <c r="B120" s="6">
        <v>0</v>
      </c>
      <c r="C120" s="6">
        <v>1</v>
      </c>
      <c r="D120" s="6">
        <v>0</v>
      </c>
      <c r="E120" s="6">
        <v>1</v>
      </c>
      <c r="F120" s="6">
        <v>0</v>
      </c>
      <c r="G120" s="6">
        <v>0</v>
      </c>
      <c r="H120" s="6">
        <v>1</v>
      </c>
      <c r="I120" s="6">
        <v>0</v>
      </c>
      <c r="J120" s="6">
        <v>1</v>
      </c>
      <c r="K120" s="6">
        <v>1</v>
      </c>
      <c r="L120" s="7">
        <v>1</v>
      </c>
      <c r="M120" s="7">
        <v>2</v>
      </c>
      <c r="N120" s="7" t="s">
        <v>12</v>
      </c>
      <c r="O120" s="7">
        <v>13</v>
      </c>
      <c r="P120" s="7">
        <v>18</v>
      </c>
      <c r="Q120" s="8">
        <f>R120/75</f>
        <v>4093.3333333333335</v>
      </c>
      <c r="R120" s="8">
        <v>307000</v>
      </c>
      <c r="S120" s="5">
        <f t="shared" si="6"/>
        <v>12.634603026569334</v>
      </c>
      <c r="T120" s="5" t="str">
        <f t="shared" si="4"/>
        <v>E</v>
      </c>
      <c r="U120" s="5">
        <f t="shared" si="5"/>
        <v>3</v>
      </c>
    </row>
    <row r="121" spans="1:21" x14ac:dyDescent="0.3">
      <c r="A121" s="6">
        <v>1</v>
      </c>
      <c r="B121" s="6">
        <v>0</v>
      </c>
      <c r="C121" s="6">
        <v>0</v>
      </c>
      <c r="D121" s="6">
        <v>1</v>
      </c>
      <c r="E121" s="6">
        <v>1</v>
      </c>
      <c r="F121" s="6">
        <v>1</v>
      </c>
      <c r="G121" s="6">
        <v>0</v>
      </c>
      <c r="H121" s="6">
        <v>1</v>
      </c>
      <c r="I121" s="6">
        <v>1</v>
      </c>
      <c r="J121" s="6">
        <v>0</v>
      </c>
      <c r="K121" s="6">
        <v>1</v>
      </c>
      <c r="L121" s="7">
        <v>1</v>
      </c>
      <c r="M121" s="7">
        <v>3</v>
      </c>
      <c r="N121" s="7" t="s">
        <v>12</v>
      </c>
      <c r="O121" s="7">
        <v>16</v>
      </c>
      <c r="P121" s="7">
        <v>13</v>
      </c>
      <c r="Q121" s="8">
        <f>R121/130</f>
        <v>4000</v>
      </c>
      <c r="R121" s="8">
        <v>520000</v>
      </c>
      <c r="S121" s="5">
        <f t="shared" si="6"/>
        <v>13.161584090557611</v>
      </c>
      <c r="T121" s="5" t="str">
        <f t="shared" si="4"/>
        <v>E</v>
      </c>
      <c r="U121" s="5">
        <f t="shared" si="5"/>
        <v>3</v>
      </c>
    </row>
    <row r="122" spans="1:21" x14ac:dyDescent="0.3">
      <c r="A122" s="6">
        <v>1</v>
      </c>
      <c r="B122" s="6">
        <v>0</v>
      </c>
      <c r="C122" s="6">
        <v>0</v>
      </c>
      <c r="D122" s="6">
        <v>1</v>
      </c>
      <c r="E122" s="6">
        <v>1</v>
      </c>
      <c r="F122" s="6">
        <v>1</v>
      </c>
      <c r="G122" s="6">
        <v>0</v>
      </c>
      <c r="H122" s="6">
        <v>1</v>
      </c>
      <c r="I122" s="6">
        <v>1</v>
      </c>
      <c r="J122" s="6">
        <v>1</v>
      </c>
      <c r="K122" s="6">
        <v>1</v>
      </c>
      <c r="L122" s="7">
        <v>2</v>
      </c>
      <c r="M122" s="7">
        <v>4</v>
      </c>
      <c r="N122" s="7" t="s">
        <v>12</v>
      </c>
      <c r="O122" s="7">
        <v>12</v>
      </c>
      <c r="P122" s="7">
        <v>14</v>
      </c>
      <c r="Q122" s="8">
        <f>R122/180</f>
        <v>4361.1111111111113</v>
      </c>
      <c r="R122" s="8">
        <v>785000</v>
      </c>
      <c r="S122" s="5">
        <f t="shared" si="6"/>
        <v>13.573438996764546</v>
      </c>
      <c r="T122" s="5" t="str">
        <f t="shared" si="4"/>
        <v>E</v>
      </c>
      <c r="U122" s="5">
        <f t="shared" si="5"/>
        <v>3</v>
      </c>
    </row>
    <row r="123" spans="1:21" x14ac:dyDescent="0.3">
      <c r="A123" s="6">
        <v>1</v>
      </c>
      <c r="B123" s="6">
        <v>1</v>
      </c>
      <c r="C123" s="6">
        <v>0</v>
      </c>
      <c r="D123" s="6">
        <v>1</v>
      </c>
      <c r="E123" s="6">
        <v>0</v>
      </c>
      <c r="F123" s="6">
        <v>1</v>
      </c>
      <c r="G123" s="6">
        <v>0</v>
      </c>
      <c r="H123" s="6">
        <v>1</v>
      </c>
      <c r="I123" s="6">
        <v>0</v>
      </c>
      <c r="J123" s="6">
        <v>1</v>
      </c>
      <c r="K123" s="6">
        <v>1</v>
      </c>
      <c r="L123" s="7">
        <v>1</v>
      </c>
      <c r="M123" s="7">
        <v>2</v>
      </c>
      <c r="N123" s="7" t="s">
        <v>12</v>
      </c>
      <c r="O123" s="7">
        <v>11</v>
      </c>
      <c r="P123" s="7">
        <v>35</v>
      </c>
      <c r="Q123" s="8">
        <f>R123/90</f>
        <v>2777.7777777777778</v>
      </c>
      <c r="R123" s="8">
        <v>250000</v>
      </c>
      <c r="S123" s="5">
        <f t="shared" si="6"/>
        <v>12.429216196844383</v>
      </c>
      <c r="T123" s="5" t="str">
        <f t="shared" si="4"/>
        <v>E</v>
      </c>
      <c r="U123" s="5">
        <f t="shared" si="5"/>
        <v>3</v>
      </c>
    </row>
    <row r="124" spans="1:21" x14ac:dyDescent="0.3">
      <c r="A124" s="6">
        <v>1</v>
      </c>
      <c r="B124" s="6">
        <v>0</v>
      </c>
      <c r="C124" s="6">
        <v>1</v>
      </c>
      <c r="D124" s="6">
        <v>1</v>
      </c>
      <c r="E124" s="6">
        <v>0</v>
      </c>
      <c r="F124" s="6">
        <v>1</v>
      </c>
      <c r="G124" s="6">
        <v>0</v>
      </c>
      <c r="H124" s="6">
        <v>0</v>
      </c>
      <c r="I124" s="6">
        <v>1</v>
      </c>
      <c r="J124" s="6">
        <v>0</v>
      </c>
      <c r="K124" s="6">
        <v>1</v>
      </c>
      <c r="L124" s="7">
        <v>1</v>
      </c>
      <c r="M124" s="7">
        <v>1</v>
      </c>
      <c r="N124" s="7" t="s">
        <v>13</v>
      </c>
      <c r="O124" s="7">
        <v>18</v>
      </c>
      <c r="P124" s="7">
        <v>32</v>
      </c>
      <c r="Q124" s="8">
        <f>R124/65</f>
        <v>3046.1538461538462</v>
      </c>
      <c r="R124" s="8">
        <v>198000</v>
      </c>
      <c r="S124" s="5">
        <f t="shared" si="6"/>
        <v>12.196022309676673</v>
      </c>
      <c r="T124" s="5" t="str">
        <f t="shared" si="4"/>
        <v>F</v>
      </c>
      <c r="U124" s="5">
        <f t="shared" si="5"/>
        <v>2</v>
      </c>
    </row>
    <row r="125" spans="1:21" x14ac:dyDescent="0.3">
      <c r="A125" s="6">
        <v>1</v>
      </c>
      <c r="B125" s="6">
        <v>0</v>
      </c>
      <c r="C125" s="6">
        <v>1</v>
      </c>
      <c r="D125" s="6">
        <v>1</v>
      </c>
      <c r="E125" s="6">
        <v>0</v>
      </c>
      <c r="F125" s="6">
        <v>0</v>
      </c>
      <c r="G125" s="6">
        <v>0</v>
      </c>
      <c r="H125" s="6">
        <v>1</v>
      </c>
      <c r="I125" s="6">
        <v>0</v>
      </c>
      <c r="J125" s="6">
        <v>1</v>
      </c>
      <c r="K125" s="6">
        <v>1</v>
      </c>
      <c r="L125" s="7">
        <v>1</v>
      </c>
      <c r="M125" s="7">
        <v>1</v>
      </c>
      <c r="N125" s="7" t="s">
        <v>13</v>
      </c>
      <c r="O125" s="7">
        <v>18</v>
      </c>
      <c r="P125" s="7">
        <v>46</v>
      </c>
      <c r="Q125" s="8">
        <f>R125/55</f>
        <v>2045.4545454545455</v>
      </c>
      <c r="R125" s="8">
        <v>112500</v>
      </c>
      <c r="S125" s="5">
        <f t="shared" si="6"/>
        <v>11.630708500626612</v>
      </c>
      <c r="T125" s="5" t="str">
        <f t="shared" si="4"/>
        <v>F</v>
      </c>
      <c r="U125" s="5">
        <f t="shared" si="5"/>
        <v>2</v>
      </c>
    </row>
    <row r="126" spans="1:21" x14ac:dyDescent="0.3">
      <c r="A126" s="6">
        <v>1</v>
      </c>
      <c r="B126" s="6">
        <v>0</v>
      </c>
      <c r="C126" s="6">
        <v>1</v>
      </c>
      <c r="D126" s="6">
        <v>1</v>
      </c>
      <c r="E126" s="6">
        <v>1</v>
      </c>
      <c r="F126" s="6">
        <v>1</v>
      </c>
      <c r="G126" s="6">
        <v>0</v>
      </c>
      <c r="H126" s="6">
        <v>0</v>
      </c>
      <c r="I126" s="6">
        <v>1</v>
      </c>
      <c r="J126" s="6">
        <v>0</v>
      </c>
      <c r="K126" s="6">
        <v>1</v>
      </c>
      <c r="L126" s="7">
        <v>1</v>
      </c>
      <c r="M126" s="7">
        <v>1</v>
      </c>
      <c r="N126" s="7" t="s">
        <v>13</v>
      </c>
      <c r="O126" s="7">
        <v>7</v>
      </c>
      <c r="P126" s="7">
        <v>14</v>
      </c>
      <c r="Q126" s="8">
        <f>R126/60</f>
        <v>7316.666666666667</v>
      </c>
      <c r="R126" s="8">
        <v>439000</v>
      </c>
      <c r="S126" s="5">
        <f t="shared" si="6"/>
        <v>12.992254692057308</v>
      </c>
      <c r="T126" s="5" t="str">
        <f t="shared" si="4"/>
        <v>F</v>
      </c>
      <c r="U126" s="5">
        <f t="shared" si="5"/>
        <v>2</v>
      </c>
    </row>
    <row r="127" spans="1:21" x14ac:dyDescent="0.3">
      <c r="A127" s="6">
        <v>1</v>
      </c>
      <c r="B127" s="6">
        <v>0</v>
      </c>
      <c r="C127" s="6">
        <v>1</v>
      </c>
      <c r="D127" s="6">
        <v>1</v>
      </c>
      <c r="E127" s="6">
        <v>1</v>
      </c>
      <c r="F127" s="6">
        <v>1</v>
      </c>
      <c r="G127" s="6">
        <v>1</v>
      </c>
      <c r="H127" s="6">
        <v>1</v>
      </c>
      <c r="I127" s="6">
        <v>1</v>
      </c>
      <c r="J127" s="6">
        <v>1</v>
      </c>
      <c r="K127" s="6">
        <v>1</v>
      </c>
      <c r="L127" s="7">
        <v>2</v>
      </c>
      <c r="M127" s="7">
        <v>2</v>
      </c>
      <c r="N127" s="7" t="s">
        <v>11</v>
      </c>
      <c r="O127" s="7">
        <v>11</v>
      </c>
      <c r="P127" s="7">
        <v>31</v>
      </c>
      <c r="Q127" s="8">
        <f>R127/79</f>
        <v>5088.6075949367087</v>
      </c>
      <c r="R127" s="8">
        <v>402000</v>
      </c>
      <c r="S127" s="5">
        <f t="shared" si="6"/>
        <v>12.904207367601158</v>
      </c>
      <c r="T127" s="5" t="str">
        <f t="shared" si="4"/>
        <v>A</v>
      </c>
      <c r="U127" s="5">
        <f t="shared" si="5"/>
        <v>7</v>
      </c>
    </row>
    <row r="128" spans="1:21" x14ac:dyDescent="0.3">
      <c r="A128" s="6">
        <v>1</v>
      </c>
      <c r="B128" s="6">
        <v>0</v>
      </c>
      <c r="C128" s="6">
        <v>0</v>
      </c>
      <c r="D128" s="6">
        <v>1</v>
      </c>
      <c r="E128" s="6">
        <v>1</v>
      </c>
      <c r="F128" s="6">
        <v>1</v>
      </c>
      <c r="G128" s="6">
        <v>0</v>
      </c>
      <c r="H128" s="6">
        <v>1</v>
      </c>
      <c r="I128" s="6">
        <v>1</v>
      </c>
      <c r="J128" s="6">
        <v>1</v>
      </c>
      <c r="K128" s="6">
        <v>1</v>
      </c>
      <c r="L128" s="7">
        <v>2</v>
      </c>
      <c r="M128" s="7">
        <v>2</v>
      </c>
      <c r="N128" s="7" t="s">
        <v>12</v>
      </c>
      <c r="O128" s="7">
        <v>9</v>
      </c>
      <c r="P128" s="7">
        <v>18</v>
      </c>
      <c r="Q128" s="8">
        <f>R128/100</f>
        <v>4450</v>
      </c>
      <c r="R128" s="8">
        <v>445000</v>
      </c>
      <c r="S128" s="5">
        <f t="shared" si="6"/>
        <v>13.005829561148378</v>
      </c>
      <c r="T128" s="5" t="str">
        <f t="shared" si="4"/>
        <v>E</v>
      </c>
      <c r="U128" s="5">
        <f t="shared" si="5"/>
        <v>3</v>
      </c>
    </row>
    <row r="129" spans="1:21" x14ac:dyDescent="0.3">
      <c r="A129" s="6">
        <v>1</v>
      </c>
      <c r="B129" s="6">
        <v>0</v>
      </c>
      <c r="C129" s="6">
        <v>1</v>
      </c>
      <c r="D129" s="6">
        <v>1</v>
      </c>
      <c r="E129" s="6">
        <v>1</v>
      </c>
      <c r="F129" s="6">
        <v>1</v>
      </c>
      <c r="G129" s="6">
        <v>0</v>
      </c>
      <c r="H129" s="6">
        <v>1</v>
      </c>
      <c r="I129" s="6">
        <v>1</v>
      </c>
      <c r="J129" s="6">
        <v>1</v>
      </c>
      <c r="K129" s="6">
        <v>1</v>
      </c>
      <c r="L129" s="7">
        <v>1</v>
      </c>
      <c r="M129" s="7">
        <v>1</v>
      </c>
      <c r="N129" s="7" t="s">
        <v>12</v>
      </c>
      <c r="O129" s="7">
        <v>6</v>
      </c>
      <c r="P129" s="7">
        <v>15</v>
      </c>
      <c r="Q129" s="8">
        <f>R129/51</f>
        <v>8823.5294117647063</v>
      </c>
      <c r="R129" s="8">
        <v>450000</v>
      </c>
      <c r="S129" s="5">
        <f t="shared" si="6"/>
        <v>13.017002861746503</v>
      </c>
      <c r="T129" s="5" t="str">
        <f t="shared" si="4"/>
        <v>E</v>
      </c>
      <c r="U129" s="5">
        <f t="shared" si="5"/>
        <v>3</v>
      </c>
    </row>
    <row r="130" spans="1:21" x14ac:dyDescent="0.3">
      <c r="A130" s="6">
        <v>1</v>
      </c>
      <c r="B130" s="6">
        <v>0</v>
      </c>
      <c r="C130" s="6">
        <v>0</v>
      </c>
      <c r="D130" s="6">
        <v>1</v>
      </c>
      <c r="E130" s="6">
        <v>1</v>
      </c>
      <c r="F130" s="6">
        <v>1</v>
      </c>
      <c r="G130" s="6">
        <v>1</v>
      </c>
      <c r="H130" s="6">
        <v>1</v>
      </c>
      <c r="I130" s="6">
        <v>0</v>
      </c>
      <c r="J130" s="6">
        <v>1</v>
      </c>
      <c r="K130" s="6">
        <v>1</v>
      </c>
      <c r="L130" s="7">
        <v>3</v>
      </c>
      <c r="M130" s="7">
        <v>5</v>
      </c>
      <c r="N130" s="7" t="s">
        <v>6</v>
      </c>
      <c r="O130" s="7">
        <v>2</v>
      </c>
      <c r="P130" s="7"/>
      <c r="Q130" s="8">
        <f>R130/170</f>
        <v>7941.1764705882351</v>
      </c>
      <c r="R130" s="8">
        <v>1350000</v>
      </c>
      <c r="S130" s="5">
        <f t="shared" ref="S130:S150" si="7">LN(R130)</f>
        <v>14.115615150414612</v>
      </c>
      <c r="T130" s="5" t="str">
        <f t="shared" si="4"/>
        <v>G</v>
      </c>
      <c r="U130" s="5">
        <f t="shared" si="5"/>
        <v>1</v>
      </c>
    </row>
    <row r="131" spans="1:21" x14ac:dyDescent="0.3">
      <c r="A131" s="6">
        <v>1</v>
      </c>
      <c r="B131" s="6">
        <v>0</v>
      </c>
      <c r="C131" s="6">
        <v>1</v>
      </c>
      <c r="D131" s="6">
        <v>1</v>
      </c>
      <c r="E131" s="6">
        <v>0</v>
      </c>
      <c r="F131" s="6">
        <v>1</v>
      </c>
      <c r="G131" s="6">
        <v>0</v>
      </c>
      <c r="H131" s="6">
        <v>1</v>
      </c>
      <c r="I131" s="6">
        <v>1</v>
      </c>
      <c r="J131" s="6">
        <v>1</v>
      </c>
      <c r="K131" s="6">
        <v>0</v>
      </c>
      <c r="L131" s="7">
        <v>1</v>
      </c>
      <c r="M131" s="7">
        <v>2</v>
      </c>
      <c r="N131" s="7" t="s">
        <v>13</v>
      </c>
      <c r="O131" s="7">
        <v>3</v>
      </c>
      <c r="P131" s="7"/>
      <c r="Q131" s="8">
        <f>R131/130</f>
        <v>5376.9230769230771</v>
      </c>
      <c r="R131" s="8">
        <v>699000</v>
      </c>
      <c r="S131" s="5">
        <f t="shared" si="7"/>
        <v>13.457406021215947</v>
      </c>
      <c r="T131" s="5" t="str">
        <f t="shared" ref="T131:T150" si="8">TRIM(N131)</f>
        <v>F</v>
      </c>
      <c r="U131" s="5">
        <f t="shared" ref="U131:U150" si="9">IF(T131="A",7,
 IF(T131="B",6,
 IF(T131="C",5,
 IF(T131="D",4,
 IF(T131="E",3,
 IF(T131="F",2,
 IF(T131="G",1,"")))))))</f>
        <v>2</v>
      </c>
    </row>
    <row r="132" spans="1:21" x14ac:dyDescent="0.3">
      <c r="A132" s="6">
        <v>1</v>
      </c>
      <c r="B132" s="6">
        <v>0</v>
      </c>
      <c r="C132" s="6">
        <v>0</v>
      </c>
      <c r="D132" s="6">
        <v>1</v>
      </c>
      <c r="E132" s="6">
        <v>0</v>
      </c>
      <c r="F132" s="6">
        <v>1</v>
      </c>
      <c r="G132" s="6">
        <v>1</v>
      </c>
      <c r="H132" s="6">
        <v>1</v>
      </c>
      <c r="I132" s="6">
        <v>1</v>
      </c>
      <c r="J132" s="6">
        <v>1</v>
      </c>
      <c r="K132" s="6">
        <v>1</v>
      </c>
      <c r="L132" s="7">
        <v>7</v>
      </c>
      <c r="M132" s="7">
        <v>9</v>
      </c>
      <c r="N132" s="7" t="s">
        <v>12</v>
      </c>
      <c r="O132" s="7">
        <v>5</v>
      </c>
      <c r="P132" s="7"/>
      <c r="Q132" s="8">
        <f>R132/450</f>
        <v>12777.777777777777</v>
      </c>
      <c r="R132" s="8">
        <v>5750000</v>
      </c>
      <c r="S132" s="5">
        <f t="shared" si="7"/>
        <v>15.564710412773533</v>
      </c>
      <c r="T132" s="5" t="str">
        <f t="shared" si="8"/>
        <v>E</v>
      </c>
      <c r="U132" s="5">
        <f t="shared" si="9"/>
        <v>3</v>
      </c>
    </row>
    <row r="133" spans="1:21" x14ac:dyDescent="0.3">
      <c r="A133" s="6">
        <v>1</v>
      </c>
      <c r="B133" s="6">
        <v>0</v>
      </c>
      <c r="C133" s="6">
        <v>0</v>
      </c>
      <c r="D133" s="6">
        <v>1</v>
      </c>
      <c r="E133" s="6">
        <v>1</v>
      </c>
      <c r="F133" s="6">
        <v>1</v>
      </c>
      <c r="G133" s="6">
        <v>1</v>
      </c>
      <c r="H133" s="6">
        <v>1</v>
      </c>
      <c r="I133" s="6">
        <v>0</v>
      </c>
      <c r="J133" s="6">
        <v>1</v>
      </c>
      <c r="K133" s="6">
        <v>1</v>
      </c>
      <c r="L133" s="7">
        <v>2</v>
      </c>
      <c r="M133" s="7">
        <v>4</v>
      </c>
      <c r="N133" s="7" t="s">
        <v>8</v>
      </c>
      <c r="O133" s="7">
        <v>7</v>
      </c>
      <c r="P133" s="7"/>
      <c r="Q133" s="8">
        <f>R133/125</f>
        <v>10240</v>
      </c>
      <c r="R133" s="8">
        <v>1280000</v>
      </c>
      <c r="S133" s="5">
        <f t="shared" si="7"/>
        <v>14.0623706358958</v>
      </c>
      <c r="T133" s="5" t="str">
        <f t="shared" si="8"/>
        <v>D</v>
      </c>
      <c r="U133" s="5">
        <f t="shared" si="9"/>
        <v>4</v>
      </c>
    </row>
    <row r="134" spans="1:21" x14ac:dyDescent="0.3">
      <c r="A134" s="6">
        <v>1</v>
      </c>
      <c r="B134" s="6">
        <v>0</v>
      </c>
      <c r="C134" s="6">
        <v>0</v>
      </c>
      <c r="D134" s="6">
        <v>1</v>
      </c>
      <c r="E134" s="6">
        <v>1</v>
      </c>
      <c r="F134" s="6">
        <v>1</v>
      </c>
      <c r="G134" s="6">
        <v>0</v>
      </c>
      <c r="H134" s="6">
        <v>1</v>
      </c>
      <c r="I134" s="6">
        <v>1</v>
      </c>
      <c r="J134" s="6">
        <v>1</v>
      </c>
      <c r="K134" s="6">
        <v>1</v>
      </c>
      <c r="L134" s="7">
        <v>3</v>
      </c>
      <c r="M134" s="7">
        <v>4</v>
      </c>
      <c r="N134" s="7" t="s">
        <v>8</v>
      </c>
      <c r="O134" s="7">
        <v>5</v>
      </c>
      <c r="P134" s="7"/>
      <c r="Q134" s="8">
        <f>R134/220</f>
        <v>12272.727272727272</v>
      </c>
      <c r="R134" s="8">
        <v>2700000</v>
      </c>
      <c r="S134" s="5">
        <f t="shared" si="7"/>
        <v>14.808762330974558</v>
      </c>
      <c r="T134" s="5" t="str">
        <f t="shared" si="8"/>
        <v>D</v>
      </c>
      <c r="U134" s="5">
        <f t="shared" si="9"/>
        <v>4</v>
      </c>
    </row>
    <row r="135" spans="1:21" x14ac:dyDescent="0.3">
      <c r="A135" s="6">
        <v>1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1</v>
      </c>
      <c r="H135" s="6">
        <v>0</v>
      </c>
      <c r="I135" s="6">
        <v>0</v>
      </c>
      <c r="J135" s="6">
        <v>1</v>
      </c>
      <c r="K135" s="6">
        <v>0</v>
      </c>
      <c r="L135" s="7">
        <v>2</v>
      </c>
      <c r="M135" s="7">
        <v>2</v>
      </c>
      <c r="N135" s="7" t="s">
        <v>13</v>
      </c>
      <c r="O135" s="7">
        <v>12</v>
      </c>
      <c r="P135" s="7">
        <v>19</v>
      </c>
      <c r="Q135" s="8">
        <f>R135/115</f>
        <v>7565.217391304348</v>
      </c>
      <c r="R135" s="8">
        <v>870000</v>
      </c>
      <c r="S135" s="5">
        <f t="shared" si="7"/>
        <v>13.676248490630767</v>
      </c>
      <c r="T135" s="5" t="str">
        <f t="shared" si="8"/>
        <v>F</v>
      </c>
      <c r="U135" s="5">
        <f t="shared" si="9"/>
        <v>2</v>
      </c>
    </row>
    <row r="136" spans="1:21" x14ac:dyDescent="0.3">
      <c r="A136" s="6">
        <v>1</v>
      </c>
      <c r="B136" s="6">
        <v>0</v>
      </c>
      <c r="C136" s="6">
        <v>1</v>
      </c>
      <c r="D136" s="6">
        <v>1</v>
      </c>
      <c r="E136" s="6">
        <v>1</v>
      </c>
      <c r="F136" s="6">
        <v>1</v>
      </c>
      <c r="G136" s="6">
        <v>1</v>
      </c>
      <c r="H136" s="6">
        <v>0</v>
      </c>
      <c r="I136" s="6">
        <v>1</v>
      </c>
      <c r="J136" s="6">
        <v>1</v>
      </c>
      <c r="K136" s="6">
        <v>1</v>
      </c>
      <c r="L136" s="7">
        <v>1</v>
      </c>
      <c r="M136" s="7">
        <v>0</v>
      </c>
      <c r="N136" s="7" t="s">
        <v>12</v>
      </c>
      <c r="O136" s="7">
        <v>8</v>
      </c>
      <c r="P136" s="7">
        <v>19</v>
      </c>
      <c r="Q136" s="8">
        <f>R136/39</f>
        <v>7307.6923076923076</v>
      </c>
      <c r="R136" s="8">
        <v>285000</v>
      </c>
      <c r="S136" s="5">
        <f t="shared" si="7"/>
        <v>12.560244459250788</v>
      </c>
      <c r="T136" s="5" t="str">
        <f t="shared" si="8"/>
        <v>E</v>
      </c>
      <c r="U136" s="5">
        <f t="shared" si="9"/>
        <v>3</v>
      </c>
    </row>
    <row r="137" spans="1:21" x14ac:dyDescent="0.3">
      <c r="A137" s="6">
        <v>1</v>
      </c>
      <c r="B137" s="6">
        <v>0</v>
      </c>
      <c r="C137" s="6">
        <v>0</v>
      </c>
      <c r="D137" s="6">
        <v>1</v>
      </c>
      <c r="E137" s="6">
        <v>1</v>
      </c>
      <c r="F137" s="6">
        <v>1</v>
      </c>
      <c r="G137" s="6">
        <v>1</v>
      </c>
      <c r="H137" s="6">
        <v>1</v>
      </c>
      <c r="I137" s="6">
        <v>0</v>
      </c>
      <c r="J137" s="6">
        <v>0</v>
      </c>
      <c r="K137" s="6">
        <v>1</v>
      </c>
      <c r="L137" s="7">
        <v>2</v>
      </c>
      <c r="M137" s="7">
        <v>3</v>
      </c>
      <c r="N137" s="7" t="s">
        <v>10</v>
      </c>
      <c r="O137" s="7">
        <v>8</v>
      </c>
      <c r="P137" s="7">
        <v>13</v>
      </c>
      <c r="Q137" s="8">
        <f>R137/170</f>
        <v>10000</v>
      </c>
      <c r="R137" s="8">
        <v>1700000</v>
      </c>
      <c r="S137" s="5">
        <f t="shared" si="7"/>
        <v>14.346138809026444</v>
      </c>
      <c r="T137" s="5" t="str">
        <f t="shared" si="8"/>
        <v>B</v>
      </c>
      <c r="U137" s="5">
        <f t="shared" si="9"/>
        <v>6</v>
      </c>
    </row>
    <row r="138" spans="1:21" x14ac:dyDescent="0.3">
      <c r="A138" s="6">
        <v>1</v>
      </c>
      <c r="B138" s="6">
        <v>0</v>
      </c>
      <c r="C138" s="6">
        <v>0</v>
      </c>
      <c r="D138" s="6">
        <v>1</v>
      </c>
      <c r="E138" s="6">
        <v>1</v>
      </c>
      <c r="F138" s="6">
        <v>1</v>
      </c>
      <c r="G138" s="6">
        <v>1</v>
      </c>
      <c r="H138" s="6">
        <v>0</v>
      </c>
      <c r="I138" s="6">
        <v>0</v>
      </c>
      <c r="J138" s="6">
        <v>1</v>
      </c>
      <c r="K138" s="6">
        <v>1</v>
      </c>
      <c r="L138" s="7">
        <v>2</v>
      </c>
      <c r="M138" s="7">
        <v>5</v>
      </c>
      <c r="N138" s="7" t="s">
        <v>6</v>
      </c>
      <c r="O138" s="7">
        <v>6</v>
      </c>
      <c r="P138" s="7"/>
      <c r="Q138" s="8">
        <f>R138/195</f>
        <v>9743.5897435897441</v>
      </c>
      <c r="R138" s="8">
        <v>1900000</v>
      </c>
      <c r="S138" s="5">
        <f t="shared" si="7"/>
        <v>14.457364444136669</v>
      </c>
      <c r="T138" s="5" t="str">
        <f t="shared" si="8"/>
        <v>G</v>
      </c>
      <c r="U138" s="5">
        <f t="shared" si="9"/>
        <v>1</v>
      </c>
    </row>
    <row r="139" spans="1:21" x14ac:dyDescent="0.3">
      <c r="A139" s="6">
        <v>1</v>
      </c>
      <c r="B139" s="6">
        <v>0</v>
      </c>
      <c r="C139" s="6">
        <v>0</v>
      </c>
      <c r="D139" s="6">
        <v>1</v>
      </c>
      <c r="E139" s="6">
        <v>1</v>
      </c>
      <c r="F139" s="6">
        <v>0</v>
      </c>
      <c r="G139" s="6">
        <v>0</v>
      </c>
      <c r="H139" s="6">
        <v>0</v>
      </c>
      <c r="I139" s="6">
        <v>1</v>
      </c>
      <c r="J139" s="6">
        <v>1</v>
      </c>
      <c r="K139" s="6">
        <v>1</v>
      </c>
      <c r="L139" s="7">
        <v>1</v>
      </c>
      <c r="M139" s="7">
        <v>1</v>
      </c>
      <c r="N139" s="7" t="s">
        <v>12</v>
      </c>
      <c r="O139" s="7">
        <v>6</v>
      </c>
      <c r="P139" s="7"/>
      <c r="Q139" s="8">
        <f>R139/90</f>
        <v>17222.222222222223</v>
      </c>
      <c r="R139" s="8">
        <v>1550000</v>
      </c>
      <c r="S139" s="5">
        <f t="shared" si="7"/>
        <v>14.253765488895429</v>
      </c>
      <c r="T139" s="5" t="str">
        <f t="shared" si="8"/>
        <v>E</v>
      </c>
      <c r="U139" s="5">
        <f t="shared" si="9"/>
        <v>3</v>
      </c>
    </row>
    <row r="140" spans="1:21" x14ac:dyDescent="0.3">
      <c r="A140" s="6">
        <v>1</v>
      </c>
      <c r="B140" s="6">
        <v>0</v>
      </c>
      <c r="C140" s="6">
        <v>0</v>
      </c>
      <c r="D140" s="6">
        <v>1</v>
      </c>
      <c r="E140" s="6">
        <v>1</v>
      </c>
      <c r="F140" s="6">
        <v>1</v>
      </c>
      <c r="G140" s="6">
        <v>0</v>
      </c>
      <c r="H140" s="6">
        <v>0</v>
      </c>
      <c r="I140" s="6">
        <v>1</v>
      </c>
      <c r="J140" s="6">
        <v>1</v>
      </c>
      <c r="K140" s="6">
        <v>1</v>
      </c>
      <c r="L140" s="7">
        <v>2</v>
      </c>
      <c r="M140" s="7">
        <v>2</v>
      </c>
      <c r="N140" s="7" t="s">
        <v>13</v>
      </c>
      <c r="O140" s="7">
        <v>8</v>
      </c>
      <c r="P140" s="7"/>
      <c r="Q140" s="8">
        <f>R140/100</f>
        <v>15000</v>
      </c>
      <c r="R140" s="8">
        <v>1500000</v>
      </c>
      <c r="S140" s="5">
        <f t="shared" si="7"/>
        <v>14.220975666072439</v>
      </c>
      <c r="T140" s="5" t="str">
        <f t="shared" si="8"/>
        <v>F</v>
      </c>
      <c r="U140" s="5">
        <f t="shared" si="9"/>
        <v>2</v>
      </c>
    </row>
    <row r="141" spans="1:21" x14ac:dyDescent="0.3">
      <c r="A141" s="6">
        <v>1</v>
      </c>
      <c r="B141" s="6">
        <v>0</v>
      </c>
      <c r="C141" s="6">
        <v>1</v>
      </c>
      <c r="D141" s="6">
        <v>1</v>
      </c>
      <c r="E141" s="6">
        <v>0</v>
      </c>
      <c r="F141" s="6">
        <v>0</v>
      </c>
      <c r="G141" s="6">
        <v>0</v>
      </c>
      <c r="H141" s="6">
        <v>1</v>
      </c>
      <c r="I141" s="6">
        <v>1</v>
      </c>
      <c r="J141" s="6">
        <v>1</v>
      </c>
      <c r="K141" s="6">
        <v>1</v>
      </c>
      <c r="L141" s="7">
        <v>1</v>
      </c>
      <c r="M141" s="7">
        <v>0</v>
      </c>
      <c r="N141" s="7" t="s">
        <v>6</v>
      </c>
      <c r="O141" s="7">
        <v>18</v>
      </c>
      <c r="P141" s="7">
        <v>38</v>
      </c>
      <c r="Q141" s="8">
        <f>R141/55</f>
        <v>1781.8181818181818</v>
      </c>
      <c r="R141" s="8">
        <v>98000</v>
      </c>
      <c r="S141" s="5">
        <f t="shared" si="7"/>
        <v>11.492722757652709</v>
      </c>
      <c r="T141" s="5" t="str">
        <f t="shared" si="8"/>
        <v>G</v>
      </c>
      <c r="U141" s="5">
        <f t="shared" si="9"/>
        <v>1</v>
      </c>
    </row>
    <row r="142" spans="1:21" x14ac:dyDescent="0.3">
      <c r="A142" s="6">
        <v>0</v>
      </c>
      <c r="B142" s="6">
        <v>0</v>
      </c>
      <c r="C142" s="6">
        <v>0</v>
      </c>
      <c r="D142" s="6">
        <v>0</v>
      </c>
      <c r="E142" s="6">
        <v>1</v>
      </c>
      <c r="F142" s="6">
        <v>0</v>
      </c>
      <c r="G142" s="6">
        <v>1</v>
      </c>
      <c r="H142" s="6">
        <v>0</v>
      </c>
      <c r="I142" s="6">
        <v>0</v>
      </c>
      <c r="J142" s="6">
        <v>0</v>
      </c>
      <c r="K142" s="6">
        <v>0</v>
      </c>
      <c r="L142" s="7">
        <v>2</v>
      </c>
      <c r="M142" s="7">
        <v>4</v>
      </c>
      <c r="N142" s="7" t="s">
        <v>6</v>
      </c>
      <c r="O142" s="7">
        <v>21</v>
      </c>
      <c r="P142" s="7">
        <v>32</v>
      </c>
      <c r="Q142" s="8">
        <f>R142/226</f>
        <v>2163.716814159292</v>
      </c>
      <c r="R142" s="8">
        <v>489000</v>
      </c>
      <c r="S142" s="5">
        <f t="shared" si="7"/>
        <v>13.100117768457009</v>
      </c>
      <c r="T142" s="5" t="str">
        <f t="shared" si="8"/>
        <v>G</v>
      </c>
      <c r="U142" s="5">
        <f t="shared" si="9"/>
        <v>1</v>
      </c>
    </row>
    <row r="143" spans="1:21" x14ac:dyDescent="0.3">
      <c r="A143" s="6">
        <v>1</v>
      </c>
      <c r="B143" s="6">
        <v>1</v>
      </c>
      <c r="C143" s="6">
        <v>0</v>
      </c>
      <c r="D143" s="6">
        <v>1</v>
      </c>
      <c r="E143" s="6">
        <v>1</v>
      </c>
      <c r="F143" s="6">
        <v>1</v>
      </c>
      <c r="G143" s="6">
        <v>1</v>
      </c>
      <c r="H143" s="6">
        <v>1</v>
      </c>
      <c r="I143" s="6">
        <v>1</v>
      </c>
      <c r="J143" s="6">
        <v>1</v>
      </c>
      <c r="K143" s="6">
        <v>1</v>
      </c>
      <c r="L143" s="7">
        <v>5</v>
      </c>
      <c r="M143" s="7">
        <v>5</v>
      </c>
      <c r="N143" s="7" t="s">
        <v>8</v>
      </c>
      <c r="O143" s="7">
        <v>18</v>
      </c>
      <c r="P143" s="7">
        <v>33</v>
      </c>
      <c r="Q143" s="8">
        <f>R143/309</f>
        <v>5048.5436893203887</v>
      </c>
      <c r="R143" s="8">
        <v>1560000</v>
      </c>
      <c r="S143" s="5">
        <f t="shared" si="7"/>
        <v>14.26019637922572</v>
      </c>
      <c r="T143" s="5" t="str">
        <f t="shared" si="8"/>
        <v>D</v>
      </c>
      <c r="U143" s="5">
        <f t="shared" si="9"/>
        <v>4</v>
      </c>
    </row>
    <row r="144" spans="1:21" x14ac:dyDescent="0.3">
      <c r="A144" s="6">
        <v>1</v>
      </c>
      <c r="B144" s="6">
        <v>0</v>
      </c>
      <c r="C144" s="6">
        <v>0</v>
      </c>
      <c r="D144" s="6">
        <v>1</v>
      </c>
      <c r="E144" s="6">
        <v>1</v>
      </c>
      <c r="F144" s="6">
        <v>1</v>
      </c>
      <c r="G144" s="6">
        <v>1</v>
      </c>
      <c r="H144" s="6">
        <v>1</v>
      </c>
      <c r="I144" s="6">
        <v>1</v>
      </c>
      <c r="J144" s="6">
        <v>1</v>
      </c>
      <c r="K144" s="6">
        <v>1</v>
      </c>
      <c r="L144" s="7">
        <v>4</v>
      </c>
      <c r="M144" s="7">
        <v>4</v>
      </c>
      <c r="N144" s="7" t="s">
        <v>13</v>
      </c>
      <c r="O144" s="7">
        <v>16</v>
      </c>
      <c r="P144" s="7">
        <v>49</v>
      </c>
      <c r="Q144" s="8">
        <f>R144/306</f>
        <v>4869.2810457516343</v>
      </c>
      <c r="R144" s="8">
        <v>1490000</v>
      </c>
      <c r="S144" s="5">
        <f t="shared" si="7"/>
        <v>14.214286677921642</v>
      </c>
      <c r="T144" s="5" t="str">
        <f t="shared" si="8"/>
        <v>F</v>
      </c>
      <c r="U144" s="5">
        <f t="shared" si="9"/>
        <v>2</v>
      </c>
    </row>
    <row r="145" spans="1:21" x14ac:dyDescent="0.3">
      <c r="A145" s="6">
        <v>1</v>
      </c>
      <c r="B145" s="6">
        <v>0</v>
      </c>
      <c r="C145" s="6">
        <v>1</v>
      </c>
      <c r="D145" s="6">
        <v>0</v>
      </c>
      <c r="E145" s="6">
        <v>1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1</v>
      </c>
      <c r="L145" s="7">
        <v>1</v>
      </c>
      <c r="M145" s="7">
        <v>1</v>
      </c>
      <c r="N145" s="7" t="s">
        <v>12</v>
      </c>
      <c r="O145" s="7">
        <v>19</v>
      </c>
      <c r="P145" s="7">
        <v>46</v>
      </c>
      <c r="Q145" s="8">
        <f>R145/70</f>
        <v>3285.7142857142858</v>
      </c>
      <c r="R145" s="8">
        <v>230000</v>
      </c>
      <c r="S145" s="5">
        <f t="shared" si="7"/>
        <v>12.345834587905333</v>
      </c>
      <c r="T145" s="5" t="str">
        <f t="shared" si="8"/>
        <v>E</v>
      </c>
      <c r="U145" s="5">
        <f t="shared" si="9"/>
        <v>3</v>
      </c>
    </row>
    <row r="146" spans="1:21" x14ac:dyDescent="0.3">
      <c r="A146" s="6">
        <v>1</v>
      </c>
      <c r="B146" s="6">
        <v>0</v>
      </c>
      <c r="C146" s="6">
        <v>1</v>
      </c>
      <c r="D146" s="6">
        <v>1</v>
      </c>
      <c r="E146" s="6">
        <v>0</v>
      </c>
      <c r="F146" s="6">
        <v>0</v>
      </c>
      <c r="G146" s="6">
        <v>1</v>
      </c>
      <c r="H146" s="6">
        <v>0</v>
      </c>
      <c r="I146" s="6">
        <v>0</v>
      </c>
      <c r="J146" s="6">
        <v>0</v>
      </c>
      <c r="K146" s="6">
        <v>1</v>
      </c>
      <c r="L146" s="7">
        <v>1</v>
      </c>
      <c r="M146" s="7">
        <v>1</v>
      </c>
      <c r="N146" s="7" t="s">
        <v>6</v>
      </c>
      <c r="O146" s="7">
        <v>17</v>
      </c>
      <c r="P146" s="7">
        <v>56</v>
      </c>
      <c r="Q146" s="8">
        <f>R146/71</f>
        <v>2323.9436619718308</v>
      </c>
      <c r="R146" s="8">
        <v>165000</v>
      </c>
      <c r="S146" s="5">
        <f t="shared" si="7"/>
        <v>12.013700752882718</v>
      </c>
      <c r="T146" s="5" t="str">
        <f t="shared" si="8"/>
        <v>G</v>
      </c>
      <c r="U146" s="5">
        <f t="shared" si="9"/>
        <v>1</v>
      </c>
    </row>
    <row r="147" spans="1:21" x14ac:dyDescent="0.3">
      <c r="A147" s="6">
        <v>1</v>
      </c>
      <c r="B147" s="6">
        <v>0</v>
      </c>
      <c r="C147" s="6">
        <v>1</v>
      </c>
      <c r="D147" s="6">
        <v>1</v>
      </c>
      <c r="E147" s="6">
        <v>1</v>
      </c>
      <c r="F147" s="6">
        <v>1</v>
      </c>
      <c r="G147" s="6">
        <v>1</v>
      </c>
      <c r="H147" s="6">
        <v>0</v>
      </c>
      <c r="I147" s="6">
        <v>0</v>
      </c>
      <c r="J147" s="6">
        <v>0</v>
      </c>
      <c r="K147" s="6">
        <v>1</v>
      </c>
      <c r="L147" s="7">
        <v>1</v>
      </c>
      <c r="M147" s="7">
        <v>1</v>
      </c>
      <c r="N147" s="7" t="s">
        <v>11</v>
      </c>
      <c r="O147" s="7">
        <v>20</v>
      </c>
      <c r="P147" s="7">
        <v>36</v>
      </c>
      <c r="Q147" s="8">
        <f>R147/72</f>
        <v>4833.333333333333</v>
      </c>
      <c r="R147" s="8">
        <v>348000</v>
      </c>
      <c r="S147" s="5">
        <f t="shared" si="7"/>
        <v>12.759957758756611</v>
      </c>
      <c r="T147" s="5" t="str">
        <f t="shared" si="8"/>
        <v>A</v>
      </c>
      <c r="U147" s="5">
        <f t="shared" si="9"/>
        <v>7</v>
      </c>
    </row>
    <row r="148" spans="1:21" x14ac:dyDescent="0.3">
      <c r="A148" s="6">
        <v>1</v>
      </c>
      <c r="B148" s="6">
        <v>0</v>
      </c>
      <c r="C148" s="6">
        <v>0</v>
      </c>
      <c r="D148" s="6">
        <v>1</v>
      </c>
      <c r="E148" s="6">
        <v>1</v>
      </c>
      <c r="F148" s="6">
        <v>1</v>
      </c>
      <c r="G148" s="6">
        <v>1</v>
      </c>
      <c r="H148" s="6">
        <v>0</v>
      </c>
      <c r="I148" s="6">
        <v>0</v>
      </c>
      <c r="J148" s="6">
        <v>0</v>
      </c>
      <c r="K148" s="6">
        <v>1</v>
      </c>
      <c r="L148" s="7">
        <v>2</v>
      </c>
      <c r="M148" s="7">
        <v>2</v>
      </c>
      <c r="N148" s="7" t="s">
        <v>13</v>
      </c>
      <c r="O148" s="7">
        <v>19</v>
      </c>
      <c r="P148" s="7">
        <v>50</v>
      </c>
      <c r="Q148" s="8">
        <f>R148/104</f>
        <v>3076.9230769230771</v>
      </c>
      <c r="R148" s="8">
        <v>320000</v>
      </c>
      <c r="S148" s="5">
        <f t="shared" si="7"/>
        <v>12.676076274775909</v>
      </c>
      <c r="T148" s="5" t="str">
        <f t="shared" si="8"/>
        <v>F</v>
      </c>
      <c r="U148" s="5">
        <f t="shared" si="9"/>
        <v>2</v>
      </c>
    </row>
    <row r="149" spans="1:21" x14ac:dyDescent="0.3">
      <c r="A149" s="6">
        <v>1</v>
      </c>
      <c r="B149" s="6">
        <v>0</v>
      </c>
      <c r="C149" s="6">
        <v>0</v>
      </c>
      <c r="D149" s="6">
        <v>1</v>
      </c>
      <c r="E149" s="6">
        <v>1</v>
      </c>
      <c r="F149" s="6">
        <v>1</v>
      </c>
      <c r="G149" s="6">
        <v>1</v>
      </c>
      <c r="H149" s="6">
        <v>1</v>
      </c>
      <c r="I149" s="6">
        <v>0</v>
      </c>
      <c r="J149" s="6">
        <v>0</v>
      </c>
      <c r="K149" s="6">
        <v>1</v>
      </c>
      <c r="L149" s="7">
        <v>2</v>
      </c>
      <c r="M149" s="7">
        <v>3</v>
      </c>
      <c r="N149" s="7" t="s">
        <v>8</v>
      </c>
      <c r="O149" s="7">
        <v>20</v>
      </c>
      <c r="P149" s="7">
        <v>59</v>
      </c>
      <c r="Q149" s="8">
        <f>R149/141</f>
        <v>4680.8510638297876</v>
      </c>
      <c r="R149" s="8">
        <v>660000</v>
      </c>
      <c r="S149" s="5">
        <f t="shared" si="7"/>
        <v>13.399995114002609</v>
      </c>
      <c r="T149" s="5" t="str">
        <f t="shared" si="8"/>
        <v>D</v>
      </c>
      <c r="U149" s="5">
        <f t="shared" si="9"/>
        <v>4</v>
      </c>
    </row>
    <row r="150" spans="1:21" x14ac:dyDescent="0.3">
      <c r="A150" s="6">
        <v>1</v>
      </c>
      <c r="B150" s="6">
        <v>0</v>
      </c>
      <c r="C150" s="6">
        <v>0</v>
      </c>
      <c r="D150" s="6">
        <v>1</v>
      </c>
      <c r="E150" s="6">
        <v>1</v>
      </c>
      <c r="F150" s="6">
        <v>1</v>
      </c>
      <c r="G150" s="6">
        <v>1</v>
      </c>
      <c r="H150" s="6">
        <v>0</v>
      </c>
      <c r="I150" s="6">
        <v>0</v>
      </c>
      <c r="J150" s="6">
        <v>0</v>
      </c>
      <c r="K150" s="6">
        <v>1</v>
      </c>
      <c r="L150" s="7">
        <v>1</v>
      </c>
      <c r="M150" s="7">
        <v>2</v>
      </c>
      <c r="N150" s="7" t="s">
        <v>12</v>
      </c>
      <c r="O150" s="7">
        <v>20</v>
      </c>
      <c r="P150" s="7">
        <v>57</v>
      </c>
      <c r="Q150" s="8">
        <f>R150/109</f>
        <v>3073.3944954128442</v>
      </c>
      <c r="R150" s="8">
        <v>335000</v>
      </c>
      <c r="S150" s="5">
        <f t="shared" si="7"/>
        <v>12.721885810807203</v>
      </c>
      <c r="T150" s="5" t="str">
        <f t="shared" si="8"/>
        <v>E</v>
      </c>
      <c r="U150" s="5">
        <f t="shared" si="9"/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124"/>
  <sheetViews>
    <sheetView workbookViewId="0">
      <selection activeCell="C94" sqref="C94"/>
    </sheetView>
  </sheetViews>
  <sheetFormatPr defaultRowHeight="14.4" x14ac:dyDescent="0.3"/>
  <cols>
    <col min="3" max="3" width="56.44140625" bestFit="1" customWidth="1"/>
  </cols>
  <sheetData>
    <row r="2" spans="3:3" x14ac:dyDescent="0.3">
      <c r="C2" s="1" t="s">
        <v>14</v>
      </c>
    </row>
    <row r="3" spans="3:3" x14ac:dyDescent="0.3">
      <c r="C3" s="2" t="s">
        <v>15</v>
      </c>
    </row>
    <row r="4" spans="3:3" x14ac:dyDescent="0.3">
      <c r="C4" s="1" t="s">
        <v>16</v>
      </c>
    </row>
    <row r="5" spans="3:3" x14ac:dyDescent="0.3">
      <c r="C5" s="2" t="s">
        <v>17</v>
      </c>
    </row>
    <row r="6" spans="3:3" x14ac:dyDescent="0.3">
      <c r="C6" s="1" t="s">
        <v>18</v>
      </c>
    </row>
    <row r="7" spans="3:3" x14ac:dyDescent="0.3">
      <c r="C7" s="2" t="s">
        <v>19</v>
      </c>
    </row>
    <row r="8" spans="3:3" x14ac:dyDescent="0.3">
      <c r="C8" s="1" t="s">
        <v>20</v>
      </c>
    </row>
    <row r="9" spans="3:3" x14ac:dyDescent="0.3">
      <c r="C9" s="1" t="s">
        <v>21</v>
      </c>
    </row>
    <row r="10" spans="3:3" x14ac:dyDescent="0.3">
      <c r="C10" s="2" t="s">
        <v>22</v>
      </c>
    </row>
    <row r="11" spans="3:3" x14ac:dyDescent="0.3">
      <c r="C11" s="1" t="s">
        <v>23</v>
      </c>
    </row>
    <row r="12" spans="3:3" x14ac:dyDescent="0.3">
      <c r="C12" s="2" t="s">
        <v>24</v>
      </c>
    </row>
    <row r="13" spans="3:3" x14ac:dyDescent="0.3">
      <c r="C13" s="2" t="s">
        <v>25</v>
      </c>
    </row>
    <row r="14" spans="3:3" x14ac:dyDescent="0.3">
      <c r="C14" s="2" t="s">
        <v>26</v>
      </c>
    </row>
    <row r="15" spans="3:3" x14ac:dyDescent="0.3">
      <c r="C15" s="1" t="s">
        <v>27</v>
      </c>
    </row>
    <row r="16" spans="3:3" x14ac:dyDescent="0.3">
      <c r="C16" s="1" t="s">
        <v>28</v>
      </c>
    </row>
    <row r="17" spans="3:3" x14ac:dyDescent="0.3">
      <c r="C17" s="1" t="s">
        <v>29</v>
      </c>
    </row>
    <row r="18" spans="3:3" x14ac:dyDescent="0.3">
      <c r="C18" s="2" t="s">
        <v>30</v>
      </c>
    </row>
    <row r="19" spans="3:3" x14ac:dyDescent="0.3">
      <c r="C19" s="1" t="s">
        <v>31</v>
      </c>
    </row>
    <row r="20" spans="3:3" x14ac:dyDescent="0.3">
      <c r="C20" s="1" t="s">
        <v>32</v>
      </c>
    </row>
    <row r="21" spans="3:3" x14ac:dyDescent="0.3">
      <c r="C21" s="1" t="s">
        <v>33</v>
      </c>
    </row>
    <row r="22" spans="3:3" x14ac:dyDescent="0.3">
      <c r="C22" s="1" t="s">
        <v>34</v>
      </c>
    </row>
    <row r="23" spans="3:3" x14ac:dyDescent="0.3">
      <c r="C23" s="2" t="s">
        <v>35</v>
      </c>
    </row>
    <row r="24" spans="3:3" x14ac:dyDescent="0.3">
      <c r="C24" s="2" t="s">
        <v>36</v>
      </c>
    </row>
    <row r="25" spans="3:3" x14ac:dyDescent="0.3">
      <c r="C25" s="1" t="s">
        <v>37</v>
      </c>
    </row>
    <row r="26" spans="3:3" x14ac:dyDescent="0.3">
      <c r="C26" s="2" t="s">
        <v>38</v>
      </c>
    </row>
    <row r="27" spans="3:3" x14ac:dyDescent="0.3">
      <c r="C27" s="1" t="s">
        <v>39</v>
      </c>
    </row>
    <row r="28" spans="3:3" x14ac:dyDescent="0.3">
      <c r="C28" s="1" t="s">
        <v>40</v>
      </c>
    </row>
    <row r="29" spans="3:3" x14ac:dyDescent="0.3">
      <c r="C29" s="2" t="s">
        <v>41</v>
      </c>
    </row>
    <row r="30" spans="3:3" x14ac:dyDescent="0.3">
      <c r="C30" s="2" t="s">
        <v>42</v>
      </c>
    </row>
    <row r="31" spans="3:3" x14ac:dyDescent="0.3">
      <c r="C31" s="2" t="s">
        <v>43</v>
      </c>
    </row>
    <row r="32" spans="3:3" x14ac:dyDescent="0.3">
      <c r="C32" s="1" t="s">
        <v>44</v>
      </c>
    </row>
    <row r="33" spans="3:3" x14ac:dyDescent="0.3">
      <c r="C33" s="1" t="s">
        <v>45</v>
      </c>
    </row>
    <row r="34" spans="3:3" x14ac:dyDescent="0.3">
      <c r="C34" s="2" t="s">
        <v>46</v>
      </c>
    </row>
    <row r="35" spans="3:3" x14ac:dyDescent="0.3">
      <c r="C35" s="2" t="s">
        <v>47</v>
      </c>
    </row>
    <row r="36" spans="3:3" x14ac:dyDescent="0.3">
      <c r="C36" s="1" t="s">
        <v>48</v>
      </c>
    </row>
    <row r="37" spans="3:3" x14ac:dyDescent="0.3">
      <c r="C37" s="1" t="s">
        <v>49</v>
      </c>
    </row>
    <row r="38" spans="3:3" x14ac:dyDescent="0.3">
      <c r="C38" s="2" t="s">
        <v>50</v>
      </c>
    </row>
    <row r="39" spans="3:3" x14ac:dyDescent="0.3">
      <c r="C39" s="2" t="s">
        <v>51</v>
      </c>
    </row>
    <row r="40" spans="3:3" x14ac:dyDescent="0.3">
      <c r="C40" s="2" t="s">
        <v>52</v>
      </c>
    </row>
    <row r="41" spans="3:3" x14ac:dyDescent="0.3">
      <c r="C41" s="1" t="s">
        <v>53</v>
      </c>
    </row>
    <row r="42" spans="3:3" x14ac:dyDescent="0.3">
      <c r="C42" s="2" t="s">
        <v>54</v>
      </c>
    </row>
    <row r="43" spans="3:3" x14ac:dyDescent="0.3">
      <c r="C43" s="1" t="s">
        <v>55</v>
      </c>
    </row>
    <row r="44" spans="3:3" x14ac:dyDescent="0.3">
      <c r="C44" s="2" t="s">
        <v>56</v>
      </c>
    </row>
    <row r="45" spans="3:3" x14ac:dyDescent="0.3">
      <c r="C45" s="2" t="s">
        <v>57</v>
      </c>
    </row>
    <row r="46" spans="3:3" x14ac:dyDescent="0.3">
      <c r="C46" s="1" t="s">
        <v>58</v>
      </c>
    </row>
    <row r="47" spans="3:3" x14ac:dyDescent="0.3">
      <c r="C47" s="2" t="s">
        <v>59</v>
      </c>
    </row>
    <row r="48" spans="3:3" x14ac:dyDescent="0.3">
      <c r="C48" s="1" t="s">
        <v>60</v>
      </c>
    </row>
    <row r="49" spans="3:3" x14ac:dyDescent="0.3">
      <c r="C49" s="2" t="s">
        <v>61</v>
      </c>
    </row>
    <row r="50" spans="3:3" x14ac:dyDescent="0.3">
      <c r="C50" s="2" t="s">
        <v>62</v>
      </c>
    </row>
    <row r="51" spans="3:3" x14ac:dyDescent="0.3">
      <c r="C51" s="2" t="s">
        <v>63</v>
      </c>
    </row>
    <row r="52" spans="3:3" x14ac:dyDescent="0.3">
      <c r="C52" s="1" t="s">
        <v>64</v>
      </c>
    </row>
    <row r="53" spans="3:3" x14ac:dyDescent="0.3">
      <c r="C53" s="2" t="s">
        <v>65</v>
      </c>
    </row>
    <row r="54" spans="3:3" x14ac:dyDescent="0.3">
      <c r="C54" s="2" t="s">
        <v>66</v>
      </c>
    </row>
    <row r="55" spans="3:3" x14ac:dyDescent="0.3">
      <c r="C55" s="1" t="s">
        <v>67</v>
      </c>
    </row>
    <row r="56" spans="3:3" x14ac:dyDescent="0.3">
      <c r="C56" s="1" t="s">
        <v>68</v>
      </c>
    </row>
    <row r="57" spans="3:3" x14ac:dyDescent="0.3">
      <c r="C57" s="1" t="s">
        <v>69</v>
      </c>
    </row>
    <row r="58" spans="3:3" x14ac:dyDescent="0.3">
      <c r="C58" s="1" t="s">
        <v>70</v>
      </c>
    </row>
    <row r="59" spans="3:3" x14ac:dyDescent="0.3">
      <c r="C59" s="2" t="s">
        <v>71</v>
      </c>
    </row>
    <row r="60" spans="3:3" x14ac:dyDescent="0.3">
      <c r="C60" s="1" t="s">
        <v>72</v>
      </c>
    </row>
    <row r="61" spans="3:3" x14ac:dyDescent="0.3">
      <c r="C61" s="1" t="s">
        <v>73</v>
      </c>
    </row>
    <row r="62" spans="3:3" x14ac:dyDescent="0.3">
      <c r="C62" s="2" t="s">
        <v>74</v>
      </c>
    </row>
    <row r="63" spans="3:3" x14ac:dyDescent="0.3">
      <c r="C63" s="1" t="s">
        <v>75</v>
      </c>
    </row>
    <row r="64" spans="3:3" x14ac:dyDescent="0.3">
      <c r="C64" s="1" t="s">
        <v>76</v>
      </c>
    </row>
    <row r="65" spans="3:3" x14ac:dyDescent="0.3">
      <c r="C65" s="2" t="s">
        <v>77</v>
      </c>
    </row>
    <row r="66" spans="3:3" x14ac:dyDescent="0.3">
      <c r="C66" s="2" t="s">
        <v>78</v>
      </c>
    </row>
    <row r="67" spans="3:3" x14ac:dyDescent="0.3">
      <c r="C67" s="1" t="s">
        <v>79</v>
      </c>
    </row>
    <row r="68" spans="3:3" x14ac:dyDescent="0.3">
      <c r="C68" s="2" t="s">
        <v>80</v>
      </c>
    </row>
    <row r="69" spans="3:3" x14ac:dyDescent="0.3">
      <c r="C69" s="1" t="s">
        <v>81</v>
      </c>
    </row>
    <row r="70" spans="3:3" x14ac:dyDescent="0.3">
      <c r="C70" s="1" t="s">
        <v>82</v>
      </c>
    </row>
    <row r="71" spans="3:3" x14ac:dyDescent="0.3">
      <c r="C71" s="1" t="s">
        <v>83</v>
      </c>
    </row>
    <row r="72" spans="3:3" x14ac:dyDescent="0.3">
      <c r="C72" s="2" t="s">
        <v>84</v>
      </c>
    </row>
    <row r="73" spans="3:3" x14ac:dyDescent="0.3">
      <c r="C73" s="2" t="s">
        <v>85</v>
      </c>
    </row>
    <row r="74" spans="3:3" x14ac:dyDescent="0.3">
      <c r="C74" s="1" t="s">
        <v>86</v>
      </c>
    </row>
    <row r="75" spans="3:3" x14ac:dyDescent="0.3">
      <c r="C75" s="2" t="s">
        <v>87</v>
      </c>
    </row>
    <row r="76" spans="3:3" x14ac:dyDescent="0.3">
      <c r="C76" s="1" t="s">
        <v>88</v>
      </c>
    </row>
    <row r="77" spans="3:3" x14ac:dyDescent="0.3">
      <c r="C77" s="1" t="s">
        <v>89</v>
      </c>
    </row>
    <row r="78" spans="3:3" x14ac:dyDescent="0.3">
      <c r="C78" s="2" t="s">
        <v>90</v>
      </c>
    </row>
    <row r="79" spans="3:3" x14ac:dyDescent="0.3">
      <c r="C79" s="1" t="s">
        <v>91</v>
      </c>
    </row>
    <row r="80" spans="3:3" x14ac:dyDescent="0.3">
      <c r="C80" s="2" t="s">
        <v>92</v>
      </c>
    </row>
    <row r="81" spans="3:3" x14ac:dyDescent="0.3">
      <c r="C81" s="2" t="s">
        <v>93</v>
      </c>
    </row>
    <row r="82" spans="3:3" x14ac:dyDescent="0.3">
      <c r="C82" s="2" t="s">
        <v>94</v>
      </c>
    </row>
    <row r="83" spans="3:3" x14ac:dyDescent="0.3">
      <c r="C83" s="2" t="s">
        <v>95</v>
      </c>
    </row>
    <row r="84" spans="3:3" x14ac:dyDescent="0.3">
      <c r="C84" s="2" t="s">
        <v>96</v>
      </c>
    </row>
    <row r="85" spans="3:3" x14ac:dyDescent="0.3">
      <c r="C85" s="2" t="s">
        <v>97</v>
      </c>
    </row>
    <row r="86" spans="3:3" x14ac:dyDescent="0.3">
      <c r="C86" s="1" t="s">
        <v>98</v>
      </c>
    </row>
    <row r="87" spans="3:3" x14ac:dyDescent="0.3">
      <c r="C87" s="2" t="s">
        <v>99</v>
      </c>
    </row>
    <row r="88" spans="3:3" x14ac:dyDescent="0.3">
      <c r="C88" s="1" t="s">
        <v>100</v>
      </c>
    </row>
    <row r="89" spans="3:3" x14ac:dyDescent="0.3">
      <c r="C89" s="1" t="s">
        <v>101</v>
      </c>
    </row>
    <row r="90" spans="3:3" x14ac:dyDescent="0.3">
      <c r="C90" s="2" t="s">
        <v>102</v>
      </c>
    </row>
    <row r="91" spans="3:3" x14ac:dyDescent="0.3">
      <c r="C91" s="1" t="s">
        <v>103</v>
      </c>
    </row>
    <row r="92" spans="3:3" x14ac:dyDescent="0.3">
      <c r="C92" s="2" t="s">
        <v>104</v>
      </c>
    </row>
    <row r="93" spans="3:3" x14ac:dyDescent="0.3">
      <c r="C93" s="2" t="s">
        <v>105</v>
      </c>
    </row>
    <row r="94" spans="3:3" x14ac:dyDescent="0.3">
      <c r="C94" s="2" t="s">
        <v>106</v>
      </c>
    </row>
    <row r="95" spans="3:3" x14ac:dyDescent="0.3">
      <c r="C95" s="2" t="s">
        <v>107</v>
      </c>
    </row>
    <row r="96" spans="3:3" x14ac:dyDescent="0.3">
      <c r="C96" s="2" t="s">
        <v>108</v>
      </c>
    </row>
    <row r="97" spans="3:3" x14ac:dyDescent="0.3">
      <c r="C97" s="2" t="s">
        <v>109</v>
      </c>
    </row>
    <row r="98" spans="3:3" x14ac:dyDescent="0.3">
      <c r="C98" s="2" t="s">
        <v>110</v>
      </c>
    </row>
    <row r="99" spans="3:3" x14ac:dyDescent="0.3">
      <c r="C99" s="1" t="s">
        <v>111</v>
      </c>
    </row>
    <row r="100" spans="3:3" x14ac:dyDescent="0.3">
      <c r="C100" s="1" t="s">
        <v>112</v>
      </c>
    </row>
    <row r="101" spans="3:3" x14ac:dyDescent="0.3">
      <c r="C101" s="1" t="s">
        <v>113</v>
      </c>
    </row>
    <row r="102" spans="3:3" x14ac:dyDescent="0.3">
      <c r="C102" s="1" t="s">
        <v>114</v>
      </c>
    </row>
    <row r="103" spans="3:3" x14ac:dyDescent="0.3">
      <c r="C103" s="2" t="s">
        <v>115</v>
      </c>
    </row>
    <row r="104" spans="3:3" x14ac:dyDescent="0.3">
      <c r="C104" s="2" t="s">
        <v>116</v>
      </c>
    </row>
    <row r="105" spans="3:3" x14ac:dyDescent="0.3">
      <c r="C105" s="1" t="s">
        <v>117</v>
      </c>
    </row>
    <row r="106" spans="3:3" x14ac:dyDescent="0.3">
      <c r="C106" s="2" t="s">
        <v>118</v>
      </c>
    </row>
    <row r="107" spans="3:3" x14ac:dyDescent="0.3">
      <c r="C107" s="2" t="s">
        <v>119</v>
      </c>
    </row>
    <row r="108" spans="3:3" x14ac:dyDescent="0.3">
      <c r="C108" s="2" t="s">
        <v>120</v>
      </c>
    </row>
    <row r="109" spans="3:3" x14ac:dyDescent="0.3">
      <c r="C109" s="2" t="s">
        <v>121</v>
      </c>
    </row>
    <row r="110" spans="3:3" x14ac:dyDescent="0.3">
      <c r="C110" s="1" t="s">
        <v>122</v>
      </c>
    </row>
    <row r="111" spans="3:3" x14ac:dyDescent="0.3">
      <c r="C111" s="1" t="s">
        <v>123</v>
      </c>
    </row>
    <row r="112" spans="3:3" x14ac:dyDescent="0.3">
      <c r="C112" s="1" t="s">
        <v>124</v>
      </c>
    </row>
    <row r="113" spans="3:3" x14ac:dyDescent="0.3">
      <c r="C113" s="1" t="s">
        <v>125</v>
      </c>
    </row>
    <row r="114" spans="3:3" x14ac:dyDescent="0.3">
      <c r="C114" s="1" t="s">
        <v>126</v>
      </c>
    </row>
    <row r="115" spans="3:3" x14ac:dyDescent="0.3">
      <c r="C115" s="1" t="s">
        <v>127</v>
      </c>
    </row>
    <row r="116" spans="3:3" x14ac:dyDescent="0.3">
      <c r="C116" s="1" t="s">
        <v>128</v>
      </c>
    </row>
    <row r="117" spans="3:3" x14ac:dyDescent="0.3">
      <c r="C117" s="1" t="s">
        <v>129</v>
      </c>
    </row>
    <row r="118" spans="3:3" x14ac:dyDescent="0.3">
      <c r="C118" s="2" t="s">
        <v>130</v>
      </c>
    </row>
    <row r="119" spans="3:3" x14ac:dyDescent="0.3">
      <c r="C119" s="2" t="s">
        <v>131</v>
      </c>
    </row>
    <row r="120" spans="3:3" x14ac:dyDescent="0.3">
      <c r="C120" s="1" t="s">
        <v>132</v>
      </c>
    </row>
    <row r="121" spans="3:3" x14ac:dyDescent="0.3">
      <c r="C121" s="1" t="s">
        <v>133</v>
      </c>
    </row>
    <row r="122" spans="3:3" x14ac:dyDescent="0.3">
      <c r="C122" s="1" t="s">
        <v>134</v>
      </c>
    </row>
    <row r="123" spans="3:3" x14ac:dyDescent="0.3">
      <c r="C123" s="2" t="s">
        <v>135</v>
      </c>
    </row>
    <row r="124" spans="3:3" x14ac:dyDescent="0.3">
      <c r="C124" s="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2026-01-26T09:59:27Z</dcterms:modified>
</cp:coreProperties>
</file>